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gin" sheetId="2" state="visible" r:id="rId2"/>
    <sheet name="Cart" sheetId="3" state="visible" r:id="rId3"/>
    <sheet name="Place Order" sheetId="4" state="visible" r:id="rId4"/>
    <sheet name="API" sheetId="5" state="visible" r:id="rId5"/>
    <sheet name="Performance" sheetId="6" state="visible" r:id="rId6"/>
  </sheets>
  <definedNames>
    <definedName name="_xlnm._FilterDatabase" localSheetId="1" hidden="1">'Login'!$A$1:$K$19</definedName>
    <definedName name="_xlnm._FilterDatabase" localSheetId="2" hidden="1">'Cart'!$A$1:$K$13</definedName>
    <definedName name="_xlnm._FilterDatabase" localSheetId="3" hidden="1">'Place Order'!$A$1:$K$13</definedName>
    <definedName name="_xlnm._FilterDatabase" localSheetId="4" hidden="1">'API'!$A$1:$K$15</definedName>
    <definedName name="_xlnm._FilterDatabase" localSheetId="5" hidden="1">'Performance'!$A$1:$K$5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C00000"/>
      <sz val="10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2" fillId="0" borderId="1" pivotButton="0" quotePrefix="0" xfId="0"/>
    <xf numFmtId="0" fontId="6" fillId="3" borderId="1" pivotButton="0" quotePrefix="0" xfId="0"/>
    <xf numFmtId="0" fontId="6" fillId="0" borderId="1" pivotButton="0" quotePrefix="0" xfId="0"/>
    <xf numFmtId="9" fontId="6" fillId="0" borderId="1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0" customWidth="1" min="4" max="4"/>
    <col width="8" customWidth="1" min="5" max="5"/>
    <col width="9" customWidth="1" min="6" max="6"/>
    <col width="12" customWidth="1" min="7" max="7"/>
    <col width="12" customWidth="1" min="8" max="8"/>
    <col width="11" customWidth="1" min="9" max="9"/>
    <col width="9" customWidth="1" min="10" max="10"/>
    <col width="12" customWidth="1" min="11" max="11"/>
    <col width="12" customWidth="1" min="12" max="12"/>
  </cols>
  <sheetData>
    <row r="1">
      <c r="A1" s="1" t="inlineStr">
        <is>
          <t>DemoBlaze – Test Case Suite (Login &amp; Cart)</t>
        </is>
      </c>
    </row>
    <row r="2">
      <c r="A2" s="2" t="inlineStr">
        <is>
          <t>Application under test: https://www.demoblaze.com   ·   Framework: Playwright + TypeScript   ·   Counts below are formulas over each sheet.</t>
        </is>
      </c>
    </row>
    <row r="4">
      <c r="A4" s="3" t="inlineStr">
        <is>
          <t>Module</t>
        </is>
      </c>
      <c r="B4" s="3" t="inlineStr">
        <is>
          <t>Total</t>
        </is>
      </c>
      <c r="C4" s="3" t="inlineStr">
        <is>
          <t>Functional</t>
        </is>
      </c>
      <c r="D4" s="3" t="inlineStr">
        <is>
          <t>Negative</t>
        </is>
      </c>
      <c r="E4" s="3" t="inlineStr">
        <is>
          <t>Edge</t>
        </is>
      </c>
      <c r="F4" s="3" t="inlineStr">
        <is>
          <t>Security</t>
        </is>
      </c>
      <c r="G4" s="3" t="inlineStr">
        <is>
          <t>Performance</t>
        </is>
      </c>
      <c r="H4" s="3" t="inlineStr">
        <is>
          <t>High priority</t>
        </is>
      </c>
      <c r="I4" s="3" t="inlineStr">
        <is>
          <t>Automated</t>
        </is>
      </c>
      <c r="J4" s="3" t="inlineStr">
        <is>
          <t>Manual</t>
        </is>
      </c>
      <c r="K4" s="3" t="inlineStr">
        <is>
          <t>Automation coverage</t>
        </is>
      </c>
      <c r="L4" s="3" t="inlineStr">
        <is>
          <t>Known defects</t>
        </is>
      </c>
    </row>
    <row r="5">
      <c r="A5" s="4" t="inlineStr">
        <is>
          <t>Login</t>
        </is>
      </c>
      <c r="B5" s="4">
        <f>COUNTA(Login!$A$2:$A$200)</f>
        <v/>
      </c>
      <c r="C5" s="4">
        <f>COUNTIF(Login!$C$2:$C$200,"Functional")</f>
        <v/>
      </c>
      <c r="D5" s="4">
        <f>COUNTIF(Login!$C$2:$C$200,"Negative")</f>
        <v/>
      </c>
      <c r="E5" s="4">
        <f>COUNTIF(Login!$C$2:$C$200,"Edge")</f>
        <v/>
      </c>
      <c r="F5" s="4">
        <f>COUNTIF(Login!$C$2:$C$200,"Security")</f>
        <v/>
      </c>
      <c r="G5" s="4">
        <f>COUNTIF(Login!$C$2:$C$200,"Performance")</f>
        <v/>
      </c>
      <c r="H5" s="4">
        <f>COUNTIF(Login!$D$2:$D$200,"High")</f>
        <v/>
      </c>
      <c r="I5" s="4">
        <f>COUNTIF(Login!$I$2:$I$200,"Yes")</f>
        <v/>
      </c>
      <c r="J5" s="4">
        <f>COUNTIF(Login!$I$2:$I$200,"No")</f>
        <v/>
      </c>
      <c r="K5" s="5">
        <f>IFERROR(I5/B5,0)</f>
        <v/>
      </c>
      <c r="L5" s="4">
        <f>COUNTIF(Login!$K$2:$K$200,"*DEFECT*")</f>
        <v/>
      </c>
    </row>
    <row r="6">
      <c r="A6" s="4" t="inlineStr">
        <is>
          <t>Cart</t>
        </is>
      </c>
      <c r="B6" s="4">
        <f>COUNTA(Cart!$A$2:$A$200)</f>
        <v/>
      </c>
      <c r="C6" s="4">
        <f>COUNTIF(Cart!$C$2:$C$200,"Functional")</f>
        <v/>
      </c>
      <c r="D6" s="4">
        <f>COUNTIF(Cart!$C$2:$C$200,"Negative")</f>
        <v/>
      </c>
      <c r="E6" s="4">
        <f>COUNTIF(Cart!$C$2:$C$200,"Edge")</f>
        <v/>
      </c>
      <c r="F6" s="4">
        <f>COUNTIF(Cart!$C$2:$C$200,"Security")</f>
        <v/>
      </c>
      <c r="G6" s="4">
        <f>COUNTIF(Cart!$C$2:$C$200,"Performance")</f>
        <v/>
      </c>
      <c r="H6" s="4">
        <f>COUNTIF(Cart!$D$2:$D$200,"High")</f>
        <v/>
      </c>
      <c r="I6" s="4">
        <f>COUNTIF(Cart!$I$2:$I$200,"Yes")</f>
        <v/>
      </c>
      <c r="J6" s="4">
        <f>COUNTIF(Cart!$I$2:$I$200,"No")</f>
        <v/>
      </c>
      <c r="K6" s="5">
        <f>IFERROR(I6/B6,0)</f>
        <v/>
      </c>
      <c r="L6" s="4">
        <f>COUNTIF(Cart!$K$2:$K$200,"*DEFECT*")</f>
        <v/>
      </c>
    </row>
    <row r="7">
      <c r="A7" s="4" t="inlineStr">
        <is>
          <t>Place Order</t>
        </is>
      </c>
      <c r="B7" s="4">
        <f>COUNTA('Place Order'!$A$2:$A$200)</f>
        <v/>
      </c>
      <c r="C7" s="4">
        <f>COUNTIF('Place Order'!$C$2:$C$200,"Functional")</f>
        <v/>
      </c>
      <c r="D7" s="4">
        <f>COUNTIF('Place Order'!$C$2:$C$200,"Negative")</f>
        <v/>
      </c>
      <c r="E7" s="4">
        <f>COUNTIF('Place Order'!$C$2:$C$200,"Edge")</f>
        <v/>
      </c>
      <c r="F7" s="4">
        <f>COUNTIF('Place Order'!$C$2:$C$200,"Security")</f>
        <v/>
      </c>
      <c r="G7" s="4">
        <f>COUNTIF('Place Order'!$C$2:$C$200,"Performance")</f>
        <v/>
      </c>
      <c r="H7" s="4">
        <f>COUNTIF('Place Order'!$D$2:$D$200,"High")</f>
        <v/>
      </c>
      <c r="I7" s="4">
        <f>COUNTIF('Place Order'!$I$2:$I$200,"Yes")</f>
        <v/>
      </c>
      <c r="J7" s="4">
        <f>COUNTIF('Place Order'!$I$2:$I$200,"No")</f>
        <v/>
      </c>
      <c r="K7" s="5">
        <f>IFERROR(I7/B7,0)</f>
        <v/>
      </c>
      <c r="L7" s="4">
        <f>COUNTIF('Place Order'!$K$2:$K$200,"*DEFECT*")</f>
        <v/>
      </c>
    </row>
    <row r="8">
      <c r="A8" s="4" t="inlineStr">
        <is>
          <t>API</t>
        </is>
      </c>
      <c r="B8" s="4">
        <f>COUNTA(API!$A$2:$A$200)</f>
        <v/>
      </c>
      <c r="C8" s="4">
        <f>COUNTIF(API!$C$2:$C$200,"Functional")</f>
        <v/>
      </c>
      <c r="D8" s="4">
        <f>COUNTIF(API!$C$2:$C$200,"Negative")</f>
        <v/>
      </c>
      <c r="E8" s="4">
        <f>COUNTIF(API!$C$2:$C$200,"Edge")</f>
        <v/>
      </c>
      <c r="F8" s="4">
        <f>COUNTIF(API!$C$2:$C$200,"Security")</f>
        <v/>
      </c>
      <c r="G8" s="4">
        <f>COUNTIF(API!$C$2:$C$200,"Performance")</f>
        <v/>
      </c>
      <c r="H8" s="4">
        <f>COUNTIF(API!$D$2:$D$200,"High")</f>
        <v/>
      </c>
      <c r="I8" s="4">
        <f>COUNTIF(API!$I$2:$I$200,"Yes")</f>
        <v/>
      </c>
      <c r="J8" s="4">
        <f>COUNTIF(API!$I$2:$I$200,"No")</f>
        <v/>
      </c>
      <c r="K8" s="5">
        <f>IFERROR(I8/B8,0)</f>
        <v/>
      </c>
      <c r="L8" s="4">
        <f>COUNTIF(API!$K$2:$K$200,"*DEFECT*")</f>
        <v/>
      </c>
    </row>
    <row r="9">
      <c r="A9" s="4" t="inlineStr">
        <is>
          <t>Performance</t>
        </is>
      </c>
      <c r="B9" s="4">
        <f>COUNTA(Performance!$A$2:$A$200)</f>
        <v/>
      </c>
      <c r="C9" s="4">
        <f>COUNTIF(Performance!$C$2:$C$200,"Functional")</f>
        <v/>
      </c>
      <c r="D9" s="4">
        <f>COUNTIF(Performance!$C$2:$C$200,"Negative")</f>
        <v/>
      </c>
      <c r="E9" s="4">
        <f>COUNTIF(Performance!$C$2:$C$200,"Edge")</f>
        <v/>
      </c>
      <c r="F9" s="4">
        <f>COUNTIF(Performance!$C$2:$C$200,"Security")</f>
        <v/>
      </c>
      <c r="G9" s="4">
        <f>COUNTIF(Performance!$C$2:$C$200,"Performance")</f>
        <v/>
      </c>
      <c r="H9" s="4">
        <f>COUNTIF(Performance!$D$2:$D$200,"High")</f>
        <v/>
      </c>
      <c r="I9" s="4">
        <f>COUNTIF(Performance!$I$2:$I$200,"Yes")</f>
        <v/>
      </c>
      <c r="J9" s="4">
        <f>COUNTIF(Performance!$I$2:$I$200,"No")</f>
        <v/>
      </c>
      <c r="K9" s="5">
        <f>IFERROR(I9/B9,0)</f>
        <v/>
      </c>
      <c r="L9" s="4">
        <f>COUNTIF(Performance!$K$2:$K$200,"*DEFECT*")</f>
        <v/>
      </c>
    </row>
    <row r="10">
      <c r="A10" s="6" t="inlineStr">
        <is>
          <t>Total</t>
        </is>
      </c>
      <c r="B10" s="7">
        <f>SUM(B5:B9)</f>
        <v/>
      </c>
      <c r="C10" s="7">
        <f>SUM(C5:C9)</f>
        <v/>
      </c>
      <c r="D10" s="7">
        <f>SUM(D5:D9)</f>
        <v/>
      </c>
      <c r="E10" s="7">
        <f>SUM(E5:E9)</f>
        <v/>
      </c>
      <c r="F10" s="7">
        <f>SUM(F5:F9)</f>
        <v/>
      </c>
      <c r="G10" s="7">
        <f>SUM(G5:G9)</f>
        <v/>
      </c>
      <c r="H10" s="7">
        <f>SUM(H5:H9)</f>
        <v/>
      </c>
      <c r="I10" s="7">
        <f>SUM(I5:I9)</f>
        <v/>
      </c>
      <c r="J10" s="7">
        <f>SUM(J5:J9)</f>
        <v/>
      </c>
      <c r="K10" s="8">
        <f>IFERROR(I10/B10,0)</f>
        <v/>
      </c>
      <c r="L10" s="7">
        <f>SUM(L5:L9)</f>
        <v/>
      </c>
    </row>
    <row r="12">
      <c r="A12" s="9" t="inlineStr">
        <is>
          <t>Legend</t>
        </is>
      </c>
      <c r="B12" s="10" t="inlineStr"/>
    </row>
    <row r="13">
      <c r="A13" s="9" t="inlineStr">
        <is>
          <t>Type</t>
        </is>
      </c>
      <c r="B13" s="10" t="inlineStr">
        <is>
          <t>Functional = happy path · Negative = invalid input / rejected action · Edge = boundary or unusual flow · Security / Performance as named</t>
        </is>
      </c>
    </row>
    <row r="14">
      <c r="A14" s="9" t="inlineStr">
        <is>
          <t>Automated</t>
        </is>
      </c>
      <c r="B14" s="10" t="inlineStr">
        <is>
          <t>Yes = covered by the Playwright/k6 suite (see Automation Reference) · No = manual or exploratory only</t>
        </is>
      </c>
    </row>
    <row r="15">
      <c r="A15" s="9" t="inlineStr">
        <is>
          <t>(test.fail)</t>
        </is>
      </c>
      <c r="B15" s="10" t="inlineStr">
        <is>
          <t>Automated test asserts the CORRECT behaviour and is marked test.fail() because the site currently has a defect; it will alert when the defect is fixed.</t>
        </is>
      </c>
    </row>
    <row r="16">
      <c r="A16" s="9" t="inlineStr">
        <is>
          <t>Notes in red</t>
        </is>
      </c>
      <c r="B16" s="10" t="inlineStr">
        <is>
          <t>Defects found on the live site while writing these cases.</t>
        </is>
      </c>
    </row>
    <row r="17">
      <c r="A17" s="9" t="inlineStr">
        <is>
          <t>Adding cases</t>
        </is>
      </c>
      <c r="B17" s="10" t="inlineStr">
        <is>
          <t>Append a row on the module sheet; Type, Priority and Automated have drop-downs and the Summary updates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9" customWidth="1" min="4" max="4"/>
    <col width="28" customWidth="1" min="5" max="5"/>
    <col width="48" customWidth="1" min="6" max="6"/>
    <col width="26" customWidth="1" min="7" max="7"/>
    <col width="42" customWidth="1" min="8" max="8"/>
    <col width="11" customWidth="1" min="9" max="9"/>
    <col width="34" customWidth="1" min="10" max="10"/>
    <col width="34" customWidth="1" min="11" max="11"/>
  </cols>
  <sheetData>
    <row r="1" ht="22" customHeight="1">
      <c r="A1" s="3" t="inlineStr">
        <is>
          <t>ID</t>
        </is>
      </c>
      <c r="B1" s="3" t="inlineStr">
        <is>
          <t>Title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Automated</t>
        </is>
      </c>
      <c r="J1" s="3" t="inlineStr">
        <is>
          <t>Automation Reference</t>
        </is>
      </c>
      <c r="K1" s="3" t="inlineStr">
        <is>
          <t>Notes</t>
        </is>
      </c>
    </row>
    <row r="2">
      <c r="A2" s="11" t="inlineStr">
        <is>
          <t>TC-LOGIN-01</t>
        </is>
      </c>
      <c r="B2" s="11" t="inlineStr">
        <is>
          <t>Login with valid username and password</t>
        </is>
      </c>
      <c r="C2" s="11" t="inlineStr">
        <is>
          <t>Functional</t>
        </is>
      </c>
      <c r="D2" s="11" t="inlineStr">
        <is>
          <t>High</t>
        </is>
      </c>
      <c r="E2" s="11" t="inlineStr">
        <is>
          <t>User is on https://www.demoblaze.com; Registered account (created by the test via API)</t>
        </is>
      </c>
      <c r="F2" s="11" t="inlineStr">
        <is>
          <t>1. Click "Log in"
2. Enter valid username
3. Enter valid password
4. Click "Log in"</t>
        </is>
      </c>
      <c r="G2" s="11" t="inlineStr">
        <is>
          <t>Valid credentials</t>
        </is>
      </c>
      <c r="H2" s="11" t="inlineStr">
        <is>
          <t>Modal closes; navbar shows "Welcome &lt;username&gt;" and "Log out"; "Log in"/"Sign up" hidden</t>
        </is>
      </c>
      <c r="I2" s="11" t="inlineStr">
        <is>
          <t>Yes</t>
        </is>
      </c>
      <c r="J2" s="11" t="inlineStr">
        <is>
          <t>tests/ui/login.spec.ts</t>
        </is>
      </c>
      <c r="K2" s="11" t="inlineStr"/>
    </row>
    <row r="3">
      <c r="A3" s="11" t="inlineStr">
        <is>
          <t>TC-LOGIN-02</t>
        </is>
      </c>
      <c r="B3" s="11" t="inlineStr">
        <is>
          <t>Login with valid username and wrong password</t>
        </is>
      </c>
      <c r="C3" s="11" t="inlineStr">
        <is>
          <t>Negative</t>
        </is>
      </c>
      <c r="D3" s="11" t="inlineStr">
        <is>
          <t>High</t>
        </is>
      </c>
      <c r="E3" s="11" t="inlineStr">
        <is>
          <t>User is on https://www.demoblaze.com; Registered account (created by the test via API)</t>
        </is>
      </c>
      <c r="F3" s="11" t="inlineStr">
        <is>
          <t>1. Open Log in modal
2. Enter valid username, wrong password
3. Click "Log in"</t>
        </is>
      </c>
      <c r="G3" s="11" t="inlineStr">
        <is>
          <t>password = wrong_password_123</t>
        </is>
      </c>
      <c r="H3" s="11" t="inlineStr">
        <is>
          <t>Alert "Wrong password."; user stays logged out</t>
        </is>
      </c>
      <c r="I3" s="11" t="inlineStr">
        <is>
          <t>Yes</t>
        </is>
      </c>
      <c r="J3" s="11" t="inlineStr">
        <is>
          <t>tests/ui/login.spec.ts</t>
        </is>
      </c>
      <c r="K3" s="11" t="inlineStr"/>
    </row>
    <row r="4">
      <c r="A4" s="11" t="inlineStr">
        <is>
          <t>TC-LOGIN-03</t>
        </is>
      </c>
      <c r="B4" s="11" t="inlineStr">
        <is>
          <t>Login with non-existing username</t>
        </is>
      </c>
      <c r="C4" s="11" t="inlineStr">
        <is>
          <t>Negative</t>
        </is>
      </c>
      <c r="D4" s="11" t="inlineStr">
        <is>
          <t>High</t>
        </is>
      </c>
      <c r="E4" s="11" t="inlineStr">
        <is>
          <t>User is on https://www.demoblaze.com</t>
        </is>
      </c>
      <c r="F4" s="11" t="inlineStr">
        <is>
          <t>1. Open Log in modal
2. Enter an unregistered username
3. Click "Log in"</t>
        </is>
      </c>
      <c r="G4" s="11" t="inlineStr">
        <is>
          <t>username = ghost_&lt;timestamp&gt;</t>
        </is>
      </c>
      <c r="H4" s="11" t="inlineStr">
        <is>
          <t>Alert "User does not exist."; user stays logged out</t>
        </is>
      </c>
      <c r="I4" s="11" t="inlineStr">
        <is>
          <t>Yes</t>
        </is>
      </c>
      <c r="J4" s="11" t="inlineStr">
        <is>
          <t>tests/ui/login.spec.ts</t>
        </is>
      </c>
      <c r="K4" s="11" t="inlineStr"/>
    </row>
    <row r="5">
      <c r="A5" s="11" t="inlineStr">
        <is>
          <t>TC-LOGIN-04</t>
        </is>
      </c>
      <c r="B5" s="11" t="inlineStr">
        <is>
          <t>Login with empty username and password</t>
        </is>
      </c>
      <c r="C5" s="11" t="inlineStr">
        <is>
          <t>Negative</t>
        </is>
      </c>
      <c r="D5" s="11" t="inlineStr">
        <is>
          <t>High</t>
        </is>
      </c>
      <c r="E5" s="11" t="inlineStr">
        <is>
          <t>User is on https://www.demoblaze.com</t>
        </is>
      </c>
      <c r="F5" s="11" t="inlineStr">
        <is>
          <t>1. Open Log in modal
2. Leave both fields empty
3. Click "Log in"</t>
        </is>
      </c>
      <c r="G5" s="11" t="inlineStr">
        <is>
          <t>—</t>
        </is>
      </c>
      <c r="H5" s="11" t="inlineStr">
        <is>
          <t>Alert "Please fill out Username and Password."; modal stays open</t>
        </is>
      </c>
      <c r="I5" s="11" t="inlineStr">
        <is>
          <t>Yes</t>
        </is>
      </c>
      <c r="J5" s="11" t="inlineStr">
        <is>
          <t>tests/ui/login.spec.ts</t>
        </is>
      </c>
      <c r="K5" s="11" t="inlineStr"/>
    </row>
    <row r="6">
      <c r="A6" s="11" t="inlineStr">
        <is>
          <t>TC-LOGIN-05</t>
        </is>
      </c>
      <c r="B6" s="11" t="inlineStr">
        <is>
          <t>Login with empty password</t>
        </is>
      </c>
      <c r="C6" s="11" t="inlineStr">
        <is>
          <t>Negative</t>
        </is>
      </c>
      <c r="D6" s="11" t="inlineStr">
        <is>
          <t>Medium</t>
        </is>
      </c>
      <c r="E6" s="11" t="inlineStr">
        <is>
          <t>User is on https://www.demoblaze.com; Registered account (created by the test via API)</t>
        </is>
      </c>
      <c r="F6" s="11" t="inlineStr">
        <is>
          <t>1. Enter valid username only
2. Click "Log in"</t>
        </is>
      </c>
      <c r="G6" s="11" t="inlineStr">
        <is>
          <t>—</t>
        </is>
      </c>
      <c r="H6" s="11" t="inlineStr">
        <is>
          <t>Alert "Please fill out Username and Password."</t>
        </is>
      </c>
      <c r="I6" s="11" t="inlineStr">
        <is>
          <t>Yes</t>
        </is>
      </c>
      <c r="J6" s="11" t="inlineStr">
        <is>
          <t>tests/ui/login.spec.ts</t>
        </is>
      </c>
      <c r="K6" s="11" t="inlineStr"/>
    </row>
    <row r="7">
      <c r="A7" s="11" t="inlineStr">
        <is>
          <t>TC-LOGIN-06</t>
        </is>
      </c>
      <c r="B7" s="11" t="inlineStr">
        <is>
          <t>Login with empty username</t>
        </is>
      </c>
      <c r="C7" s="11" t="inlineStr">
        <is>
          <t>Negative</t>
        </is>
      </c>
      <c r="D7" s="11" t="inlineStr">
        <is>
          <t>Medium</t>
        </is>
      </c>
      <c r="E7" s="11" t="inlineStr">
        <is>
          <t>User is on https://www.demoblaze.com; Registered account (created by the test via API)</t>
        </is>
      </c>
      <c r="F7" s="11" t="inlineStr">
        <is>
          <t>1. Enter valid password only
2. Click "Log in"</t>
        </is>
      </c>
      <c r="G7" s="11" t="inlineStr">
        <is>
          <t>—</t>
        </is>
      </c>
      <c r="H7" s="11" t="inlineStr">
        <is>
          <t>Alert "Please fill out Username and Password."</t>
        </is>
      </c>
      <c r="I7" s="11" t="inlineStr">
        <is>
          <t>Yes</t>
        </is>
      </c>
      <c r="J7" s="11" t="inlineStr">
        <is>
          <t>tests/ui/login.spec.ts</t>
        </is>
      </c>
      <c r="K7" s="11" t="inlineStr"/>
    </row>
    <row r="8">
      <c r="A8" s="11" t="inlineStr">
        <is>
          <t>TC-LOGIN-07</t>
        </is>
      </c>
      <c r="B8" s="11" t="inlineStr">
        <is>
          <t>Password is case-sensitive</t>
        </is>
      </c>
      <c r="C8" s="11" t="inlineStr">
        <is>
          <t>Edge</t>
        </is>
      </c>
      <c r="D8" s="11" t="inlineStr">
        <is>
          <t>Medium</t>
        </is>
      </c>
      <c r="E8" s="11" t="inlineStr">
        <is>
          <t>User is on https://www.demoblaze.com; Registered account (created by the test via API)</t>
        </is>
      </c>
      <c r="F8" s="11" t="inlineStr">
        <is>
          <t>1. Enter valid username
2. Enter the password in UPPER CASE
3. Click "Log in"</t>
        </is>
      </c>
      <c r="G8" s="11" t="inlineStr">
        <is>
          <t>password.toUpperCase()</t>
        </is>
      </c>
      <c r="H8" s="11" t="inlineStr">
        <is>
          <t>Alert "Wrong password."</t>
        </is>
      </c>
      <c r="I8" s="11" t="inlineStr">
        <is>
          <t>Yes</t>
        </is>
      </c>
      <c r="J8" s="11" t="inlineStr">
        <is>
          <t>tests/ui/login.spec.ts</t>
        </is>
      </c>
      <c r="K8" s="11" t="inlineStr"/>
    </row>
    <row r="9">
      <c r="A9" s="11" t="inlineStr">
        <is>
          <t>TC-LOGIN-08</t>
        </is>
      </c>
      <c r="B9" s="11" t="inlineStr">
        <is>
          <t>SQL injection string does not authenticate</t>
        </is>
      </c>
      <c r="C9" s="11" t="inlineStr">
        <is>
          <t>Security</t>
        </is>
      </c>
      <c r="D9" s="11" t="inlineStr">
        <is>
          <t>High</t>
        </is>
      </c>
      <c r="E9" s="11" t="inlineStr">
        <is>
          <t>User is on https://www.demoblaze.com</t>
        </is>
      </c>
      <c r="F9" s="11" t="inlineStr">
        <is>
          <t>1. Enter ' OR '1'='1 as username and password
2. Click "Log in"</t>
        </is>
      </c>
      <c r="G9" s="11" t="inlineStr">
        <is>
          <t>' OR '1'='1</t>
        </is>
      </c>
      <c r="H9" s="11" t="inlineStr">
        <is>
          <t>Error alert ("User does not exist." or "Wrong password."); user stays logged out</t>
        </is>
      </c>
      <c r="I9" s="11" t="inlineStr">
        <is>
          <t>Yes</t>
        </is>
      </c>
      <c r="J9" s="11" t="inlineStr">
        <is>
          <t>tests/ui/login.spec.ts</t>
        </is>
      </c>
      <c r="K9" s="11" t="inlineStr">
        <is>
          <t>Someone registered this username on the public site, so either error is accepted.</t>
        </is>
      </c>
    </row>
    <row r="10">
      <c r="A10" s="11" t="inlineStr">
        <is>
          <t>TC-LOGIN-09</t>
        </is>
      </c>
      <c r="B10" s="11" t="inlineStr">
        <is>
          <t>Password field is masked</t>
        </is>
      </c>
      <c r="C10" s="11" t="inlineStr">
        <is>
          <t>Security</t>
        </is>
      </c>
      <c r="D10" s="11" t="inlineStr">
        <is>
          <t>Medium</t>
        </is>
      </c>
      <c r="E10" s="11" t="inlineStr">
        <is>
          <t>User is on https://www.demoblaze.com</t>
        </is>
      </c>
      <c r="F10" s="11" t="inlineStr">
        <is>
          <t>1. Open Log in modal
2. Inspect password input</t>
        </is>
      </c>
      <c r="G10" s="11" t="inlineStr">
        <is>
          <t>—</t>
        </is>
      </c>
      <c r="H10" s="11" t="inlineStr">
        <is>
          <t>Password input has type="password"</t>
        </is>
      </c>
      <c r="I10" s="11" t="inlineStr">
        <is>
          <t>Yes</t>
        </is>
      </c>
      <c r="J10" s="11" t="inlineStr">
        <is>
          <t>tests/ui/login.spec.ts</t>
        </is>
      </c>
      <c r="K10" s="11" t="inlineStr"/>
    </row>
    <row r="11">
      <c r="A11" s="11" t="inlineStr">
        <is>
          <t>TC-LOGIN-10</t>
        </is>
      </c>
      <c r="B11" s="11" t="inlineStr">
        <is>
          <t>Closing the modal does not log in</t>
        </is>
      </c>
      <c r="C11" s="11" t="inlineStr">
        <is>
          <t>Edge</t>
        </is>
      </c>
      <c r="D11" s="11" t="inlineStr">
        <is>
          <t>Low</t>
        </is>
      </c>
      <c r="E11" s="11" t="inlineStr">
        <is>
          <t>User is on https://www.demoblaze.com; Registered account (created by the test via API)</t>
        </is>
      </c>
      <c r="F11" s="11" t="inlineStr">
        <is>
          <t>1. Open Log in modal
2. Enter valid credentials
3. Click "Close"</t>
        </is>
      </c>
      <c r="G11" s="11" t="inlineStr">
        <is>
          <t>Valid credentials</t>
        </is>
      </c>
      <c r="H11" s="11" t="inlineStr">
        <is>
          <t>Modal closes; user stays logged out</t>
        </is>
      </c>
      <c r="I11" s="11" t="inlineStr">
        <is>
          <t>Yes</t>
        </is>
      </c>
      <c r="J11" s="11" t="inlineStr">
        <is>
          <t>tests/ui/login.spec.ts</t>
        </is>
      </c>
      <c r="K11" s="11" t="inlineStr"/>
    </row>
    <row r="12">
      <c r="A12" s="11" t="inlineStr">
        <is>
          <t>TC-LOGIN-11</t>
        </is>
      </c>
      <c r="B12" s="11" t="inlineStr">
        <is>
          <t>Session persists after page reload</t>
        </is>
      </c>
      <c r="C12" s="11" t="inlineStr">
        <is>
          <t>Functional</t>
        </is>
      </c>
      <c r="D12" s="11" t="inlineStr">
        <is>
          <t>Medium</t>
        </is>
      </c>
      <c r="E12" s="11" t="inlineStr">
        <is>
          <t>User is on https://www.demoblaze.com; Registered account (created by the test via API)</t>
        </is>
      </c>
      <c r="F12" s="11" t="inlineStr">
        <is>
          <t>1. Log in
2. Reload the page</t>
        </is>
      </c>
      <c r="G12" s="11" t="inlineStr">
        <is>
          <t>Valid credentials</t>
        </is>
      </c>
      <c r="H12" s="11" t="inlineStr">
        <is>
          <t>User is still logged in after reload</t>
        </is>
      </c>
      <c r="I12" s="11" t="inlineStr">
        <is>
          <t>Yes</t>
        </is>
      </c>
      <c r="J12" s="11" t="inlineStr">
        <is>
          <t>tests/ui/login.spec.ts</t>
        </is>
      </c>
      <c r="K12" s="11" t="inlineStr"/>
    </row>
    <row r="13">
      <c r="A13" s="11" t="inlineStr">
        <is>
          <t>TC-LOGIN-12</t>
        </is>
      </c>
      <c r="B13" s="11" t="inlineStr">
        <is>
          <t>Logout ends the session</t>
        </is>
      </c>
      <c r="C13" s="11" t="inlineStr">
        <is>
          <t>Functional</t>
        </is>
      </c>
      <c r="D13" s="11" t="inlineStr">
        <is>
          <t>High</t>
        </is>
      </c>
      <c r="E13" s="11" t="inlineStr">
        <is>
          <t>User is logged in</t>
        </is>
      </c>
      <c r="F13" s="11" t="inlineStr">
        <is>
          <t>1. Click "Log out"
2. Reload the page</t>
        </is>
      </c>
      <c r="G13" s="11" t="inlineStr">
        <is>
          <t>—</t>
        </is>
      </c>
      <c r="H13" s="11" t="inlineStr">
        <is>
          <t>"Log in" link visible, welcome text hidden, still logged out after reload</t>
        </is>
      </c>
      <c r="I13" s="11" t="inlineStr">
        <is>
          <t>Yes</t>
        </is>
      </c>
      <c r="J13" s="11" t="inlineStr">
        <is>
          <t>tests/ui/login.spec.ts</t>
        </is>
      </c>
      <c r="K13" s="11" t="inlineStr"/>
    </row>
    <row r="14">
      <c r="A14" s="11" t="inlineStr">
        <is>
          <t>TC-LOGIN-13</t>
        </is>
      </c>
      <c r="B14" s="11" t="inlineStr">
        <is>
          <t>Newly registered user can log in</t>
        </is>
      </c>
      <c r="C14" s="11" t="inlineStr">
        <is>
          <t>Functional</t>
        </is>
      </c>
      <c r="D14" s="11" t="inlineStr">
        <is>
          <t>High</t>
        </is>
      </c>
      <c r="E14" s="11" t="inlineStr">
        <is>
          <t>User is on https://www.demoblaze.com</t>
        </is>
      </c>
      <c r="F14" s="11" t="inlineStr">
        <is>
          <t>1. Sign up with a new username/password
2. Accept "Sign up successful."
3. Log in with the same credentials</t>
        </is>
      </c>
      <c r="G14" s="11" t="inlineStr">
        <is>
          <t>Random user</t>
        </is>
      </c>
      <c r="H14" s="11" t="inlineStr">
        <is>
          <t>Alert "Sign up successful."; user is logged in</t>
        </is>
      </c>
      <c r="I14" s="11" t="inlineStr">
        <is>
          <t>Yes</t>
        </is>
      </c>
      <c r="J14" s="11" t="inlineStr">
        <is>
          <t>tests/ui/login.spec.ts</t>
        </is>
      </c>
      <c r="K14" s="11" t="inlineStr"/>
    </row>
    <row r="15">
      <c r="A15" s="11" t="inlineStr">
        <is>
          <t>TC-LOGIN-14</t>
        </is>
      </c>
      <c r="B15" s="11" t="inlineStr">
        <is>
          <t>Username with leading/trailing spaces</t>
        </is>
      </c>
      <c r="C15" s="11" t="inlineStr">
        <is>
          <t>Edge</t>
        </is>
      </c>
      <c r="D15" s="11" t="inlineStr">
        <is>
          <t>Low</t>
        </is>
      </c>
      <c r="E15" s="11" t="inlineStr">
        <is>
          <t>User is on https://www.demoblaze.com; Registered account (created by the test via API)</t>
        </is>
      </c>
      <c r="F15" s="11" t="inlineStr">
        <is>
          <t>1. Enter " &lt;username&gt; " (with spaces)
2. Enter valid password
3. Click "Log in"</t>
        </is>
      </c>
      <c r="G15" s="11" t="inlineStr">
        <is>
          <t>Username padded with spaces</t>
        </is>
      </c>
      <c r="H15" s="11" t="inlineStr">
        <is>
          <t>Spaces are trimmed and login succeeds, or a clear error is shown</t>
        </is>
      </c>
      <c r="I15" s="11" t="inlineStr">
        <is>
          <t>No</t>
        </is>
      </c>
      <c r="J15" s="11" t="inlineStr">
        <is>
          <t>—</t>
        </is>
      </c>
      <c r="K15" s="11" t="inlineStr">
        <is>
          <t>Behaviour not specified by the site; verify manually.</t>
        </is>
      </c>
    </row>
    <row r="16">
      <c r="A16" s="11" t="inlineStr">
        <is>
          <t>TC-LOGIN-15</t>
        </is>
      </c>
      <c r="B16" s="11" t="inlineStr">
        <is>
          <t>Username is case-sensitive</t>
        </is>
      </c>
      <c r="C16" s="11" t="inlineStr">
        <is>
          <t>Edge</t>
        </is>
      </c>
      <c r="D16" s="11" t="inlineStr">
        <is>
          <t>Low</t>
        </is>
      </c>
      <c r="E16" s="11" t="inlineStr">
        <is>
          <t>User is on https://www.demoblaze.com; Registered account (created by the test via API)</t>
        </is>
      </c>
      <c r="F16" s="11" t="inlineStr">
        <is>
          <t>1. Enter the username in a different case
2. Enter valid password
3. Click "Log in"</t>
        </is>
      </c>
      <c r="G16" s="11" t="inlineStr">
        <is>
          <t>USERNAME in upper case</t>
        </is>
      </c>
      <c r="H16" s="11" t="inlineStr">
        <is>
          <t>Alert "User does not exist."</t>
        </is>
      </c>
      <c r="I16" s="11" t="inlineStr">
        <is>
          <t>No</t>
        </is>
      </c>
      <c r="J16" s="11" t="inlineStr">
        <is>
          <t>—</t>
        </is>
      </c>
      <c r="K16" s="11" t="inlineStr"/>
    </row>
    <row r="17">
      <c r="A17" s="11" t="inlineStr">
        <is>
          <t>TC-LOGIN-16</t>
        </is>
      </c>
      <c r="B17" s="11" t="inlineStr">
        <is>
          <t>Very long username (&gt; 255 chars)</t>
        </is>
      </c>
      <c r="C17" s="11" t="inlineStr">
        <is>
          <t>Edge</t>
        </is>
      </c>
      <c r="D17" s="11" t="inlineStr">
        <is>
          <t>Low</t>
        </is>
      </c>
      <c r="E17" s="11" t="inlineStr">
        <is>
          <t>User is on https://www.demoblaze.com</t>
        </is>
      </c>
      <c r="F17" s="11" t="inlineStr">
        <is>
          <t>1. Enter a 300-character username and any password
2. Click "Log in"</t>
        </is>
      </c>
      <c r="G17" s="11" t="inlineStr">
        <is>
          <t>300 x "a"</t>
        </is>
      </c>
      <c r="H17" s="11" t="inlineStr">
        <is>
          <t>Graceful error, no crash or hang</t>
        </is>
      </c>
      <c r="I17" s="11" t="inlineStr">
        <is>
          <t>No</t>
        </is>
      </c>
      <c r="J17" s="11" t="inlineStr">
        <is>
          <t>—</t>
        </is>
      </c>
      <c r="K17" s="11" t="inlineStr"/>
    </row>
    <row r="18">
      <c r="A18" s="11" t="inlineStr">
        <is>
          <t>TC-LOGIN-17</t>
        </is>
      </c>
      <c r="B18" s="11" t="inlineStr">
        <is>
          <t>Submit with Enter key</t>
        </is>
      </c>
      <c r="C18" s="11" t="inlineStr">
        <is>
          <t>Edge</t>
        </is>
      </c>
      <c r="D18" s="11" t="inlineStr">
        <is>
          <t>Low</t>
        </is>
      </c>
      <c r="E18" s="11" t="inlineStr">
        <is>
          <t>User is on https://www.demoblaze.com; Registered account (created by the test via API)</t>
        </is>
      </c>
      <c r="F18" s="11" t="inlineStr">
        <is>
          <t>1. Enter valid credentials
2. Press Enter in the password field</t>
        </is>
      </c>
      <c r="G18" s="11" t="inlineStr">
        <is>
          <t>Valid credentials</t>
        </is>
      </c>
      <c r="H18" s="11" t="inlineStr">
        <is>
          <t>Form is submitted and user is logged in</t>
        </is>
      </c>
      <c r="I18" s="11" t="inlineStr">
        <is>
          <t>No</t>
        </is>
      </c>
      <c r="J18" s="11" t="inlineStr">
        <is>
          <t>—</t>
        </is>
      </c>
      <c r="K18" s="11" t="inlineStr">
        <is>
          <t>Known gap: the site does not bind Enter to submit.</t>
        </is>
      </c>
    </row>
    <row r="19">
      <c r="A19" s="11" t="inlineStr">
        <is>
          <t>TC-LOGIN-18</t>
        </is>
      </c>
      <c r="B19" s="11" t="inlineStr">
        <is>
          <t>Log in from the Cart page</t>
        </is>
      </c>
      <c r="C19" s="11" t="inlineStr">
        <is>
          <t>Functional</t>
        </is>
      </c>
      <c r="D19" s="11" t="inlineStr">
        <is>
          <t>Medium</t>
        </is>
      </c>
      <c r="E19" s="11" t="inlineStr">
        <is>
          <t>User is on cart.html; Registered account (created by the test via API)</t>
        </is>
      </c>
      <c r="F19" s="11" t="inlineStr">
        <is>
          <t>1. Open Cart page
2. Log in</t>
        </is>
      </c>
      <c r="G19" s="11" t="inlineStr">
        <is>
          <t>Valid credentials</t>
        </is>
      </c>
      <c r="H19" s="11" t="inlineStr">
        <is>
          <t>User is logged in and the cart reloads with the user's items</t>
        </is>
      </c>
      <c r="I19" s="11" t="inlineStr">
        <is>
          <t>Yes</t>
        </is>
      </c>
      <c r="J19" s="11" t="inlineStr">
        <is>
          <t>tests/ui/cart.spec.ts (TC-CART-08)</t>
        </is>
      </c>
      <c r="K19" s="11" t="inlineStr"/>
    </row>
  </sheetData>
  <autoFilter ref="A1:K19"/>
  <conditionalFormatting sqref="I2:I69">
    <cfRule type="cellIs" priority="1" operator="equal" dxfId="0">
      <formula>"Yes"</formula>
    </cfRule>
    <cfRule type="cellIs" priority="2" operator="equal" dxfId="1">
      <formula>"No"</formula>
    </cfRule>
  </conditionalFormatting>
  <dataValidations count="3">
    <dataValidation sqref="C2:C69" showDropDown="0" showInputMessage="0" showErrorMessage="0" allowBlank="1" type="list">
      <formula1>"Functional,Negative,Edge,Security,Performance"</formula1>
    </dataValidation>
    <dataValidation sqref="D2:D69" showDropDown="0" showInputMessage="0" showErrorMessage="0" allowBlank="1" type="list">
      <formula1>"High,Medium,Low"</formula1>
    </dataValidation>
    <dataValidation sqref="I2:I6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9" customWidth="1" min="4" max="4"/>
    <col width="28" customWidth="1" min="5" max="5"/>
    <col width="48" customWidth="1" min="6" max="6"/>
    <col width="26" customWidth="1" min="7" max="7"/>
    <col width="42" customWidth="1" min="8" max="8"/>
    <col width="11" customWidth="1" min="9" max="9"/>
    <col width="34" customWidth="1" min="10" max="10"/>
    <col width="34" customWidth="1" min="11" max="11"/>
  </cols>
  <sheetData>
    <row r="1" ht="22" customHeight="1">
      <c r="A1" s="3" t="inlineStr">
        <is>
          <t>ID</t>
        </is>
      </c>
      <c r="B1" s="3" t="inlineStr">
        <is>
          <t>Title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Automated</t>
        </is>
      </c>
      <c r="J1" s="3" t="inlineStr">
        <is>
          <t>Automation Reference</t>
        </is>
      </c>
      <c r="K1" s="3" t="inlineStr">
        <is>
          <t>Notes</t>
        </is>
      </c>
    </row>
    <row r="2">
      <c r="A2" s="11" t="inlineStr">
        <is>
          <t>TC-CART-01</t>
        </is>
      </c>
      <c r="B2" s="11" t="inlineStr">
        <is>
          <t>Guest adds a product to cart</t>
        </is>
      </c>
      <c r="C2" s="11" t="inlineStr">
        <is>
          <t>Functional</t>
        </is>
      </c>
      <c r="D2" s="11" t="inlineStr">
        <is>
          <t>High</t>
        </is>
      </c>
      <c r="E2" s="11" t="inlineStr">
        <is>
          <t>User is on https://www.demoblaze.com</t>
        </is>
      </c>
      <c r="F2" s="11" t="inlineStr">
        <is>
          <t>1. Click category "Phones"
2. Open "Nexus 6"
3. Verify name and price
4. Click "Add to cart"
5. Open Cart</t>
        </is>
      </c>
      <c r="G2" s="11" t="inlineStr">
        <is>
          <t>Nexus 6 – $650</t>
        </is>
      </c>
      <c r="H2" s="11" t="inlineStr">
        <is>
          <t>Alert "Product added."; cart shows 1 row "Nexus 6" / 650; total = 650</t>
        </is>
      </c>
      <c r="I2" s="11" t="inlineStr">
        <is>
          <t>Yes</t>
        </is>
      </c>
      <c r="J2" s="11" t="inlineStr">
        <is>
          <t>tests/ui/cart.spec.ts</t>
        </is>
      </c>
      <c r="K2" s="11" t="inlineStr"/>
    </row>
    <row r="3">
      <c r="A3" s="11" t="inlineStr">
        <is>
          <t>TC-CART-02</t>
        </is>
      </c>
      <c r="B3" s="11" t="inlineStr">
        <is>
          <t>Logged-in user adds a product to cart</t>
        </is>
      </c>
      <c r="C3" s="11" t="inlineStr">
        <is>
          <t>Functional</t>
        </is>
      </c>
      <c r="D3" s="11" t="inlineStr">
        <is>
          <t>High</t>
        </is>
      </c>
      <c r="E3" s="11" t="inlineStr">
        <is>
          <t>User is logged in</t>
        </is>
      </c>
      <c r="F3" s="11" t="inlineStr">
        <is>
          <t>1. Open "Sony vaio i5"
2. Click "Add to cart"
3. Open Cart</t>
        </is>
      </c>
      <c r="G3" s="11" t="inlineStr">
        <is>
          <t>Sony vaio i5 – $790</t>
        </is>
      </c>
      <c r="H3" s="11" t="inlineStr">
        <is>
          <t>Cart shows 1 row "Sony vaio i5" / 790</t>
        </is>
      </c>
      <c r="I3" s="11" t="inlineStr">
        <is>
          <t>Yes</t>
        </is>
      </c>
      <c r="J3" s="11" t="inlineStr">
        <is>
          <t>tests/ui/cart.spec.ts</t>
        </is>
      </c>
      <c r="K3" s="11" t="inlineStr"/>
    </row>
    <row r="4">
      <c r="A4" s="11" t="inlineStr">
        <is>
          <t>TC-CART-03</t>
        </is>
      </c>
      <c r="B4" s="11" t="inlineStr">
        <is>
          <t>Add products from different categories</t>
        </is>
      </c>
      <c r="C4" s="11" t="inlineStr">
        <is>
          <t>Functional</t>
        </is>
      </c>
      <c r="D4" s="11" t="inlineStr">
        <is>
          <t>High</t>
        </is>
      </c>
      <c r="E4" s="11" t="inlineStr">
        <is>
          <t>User is on https://www.demoblaze.com</t>
        </is>
      </c>
      <c r="F4" s="11" t="inlineStr">
        <is>
          <t>1. Add Nexus 6, Sony vaio i5, Apple monitor 24
2. Open Cart</t>
        </is>
      </c>
      <c r="G4" s="11" t="inlineStr">
        <is>
          <t>650 + 790 + 400</t>
        </is>
      </c>
      <c r="H4" s="11" t="inlineStr">
        <is>
          <t>3 rows with the right titles; total = 1840</t>
        </is>
      </c>
      <c r="I4" s="11" t="inlineStr">
        <is>
          <t>Yes</t>
        </is>
      </c>
      <c r="J4" s="11" t="inlineStr">
        <is>
          <t>tests/ui/cart.spec.ts</t>
        </is>
      </c>
      <c r="K4" s="11" t="inlineStr"/>
    </row>
    <row r="5">
      <c r="A5" s="11" t="inlineStr">
        <is>
          <t>TC-CART-04</t>
        </is>
      </c>
      <c r="B5" s="11" t="inlineStr">
        <is>
          <t>Add the same product twice</t>
        </is>
      </c>
      <c r="C5" s="11" t="inlineStr">
        <is>
          <t>Edge</t>
        </is>
      </c>
      <c r="D5" s="11" t="inlineStr">
        <is>
          <t>Medium</t>
        </is>
      </c>
      <c r="E5" s="11" t="inlineStr">
        <is>
          <t>User is on https://www.demoblaze.com</t>
        </is>
      </c>
      <c r="F5" s="11" t="inlineStr">
        <is>
          <t>1. Open Apple monitor 24
2. Click "Add to cart" twice
3. Open Cart</t>
        </is>
      </c>
      <c r="G5" s="11" t="inlineStr">
        <is>
          <t>Apple monitor 24 – $400</t>
        </is>
      </c>
      <c r="H5" s="11" t="inlineStr">
        <is>
          <t>2 rows; total = 800</t>
        </is>
      </c>
      <c r="I5" s="11" t="inlineStr">
        <is>
          <t>Yes</t>
        </is>
      </c>
      <c r="J5" s="11" t="inlineStr">
        <is>
          <t>tests/ui/cart.spec.ts</t>
        </is>
      </c>
      <c r="K5" s="11" t="inlineStr">
        <is>
          <t>Site has no quantity field; each click adds a line.</t>
        </is>
      </c>
    </row>
    <row r="6">
      <c r="A6" s="11" t="inlineStr">
        <is>
          <t>TC-CART-05</t>
        </is>
      </c>
      <c r="B6" s="11" t="inlineStr">
        <is>
          <t>Delete a product from cart</t>
        </is>
      </c>
      <c r="C6" s="11" t="inlineStr">
        <is>
          <t>Functional</t>
        </is>
      </c>
      <c r="D6" s="11" t="inlineStr">
        <is>
          <t>High</t>
        </is>
      </c>
      <c r="E6" s="11" t="inlineStr">
        <is>
          <t>Cart contains Nexus 6 and Apple monitor 24</t>
        </is>
      </c>
      <c r="F6" s="11" t="inlineStr">
        <is>
          <t>1. Click "Delete" on Nexus 6</t>
        </is>
      </c>
      <c r="G6" s="11" t="inlineStr">
        <is>
          <t>—</t>
        </is>
      </c>
      <c r="H6" s="11" t="inlineStr">
        <is>
          <t>Nexus 6 removed; 1 row left; total = 400</t>
        </is>
      </c>
      <c r="I6" s="11" t="inlineStr">
        <is>
          <t>Yes</t>
        </is>
      </c>
      <c r="J6" s="11" t="inlineStr">
        <is>
          <t>tests/ui/cart.spec.ts</t>
        </is>
      </c>
      <c r="K6" s="11" t="inlineStr"/>
    </row>
    <row r="7">
      <c r="A7" s="11" t="inlineStr">
        <is>
          <t>TC-CART-06</t>
        </is>
      </c>
      <c r="B7" s="11" t="inlineStr">
        <is>
          <t>Delete the last product</t>
        </is>
      </c>
      <c r="C7" s="11" t="inlineStr">
        <is>
          <t>Edge</t>
        </is>
      </c>
      <c r="D7" s="11" t="inlineStr">
        <is>
          <t>Medium</t>
        </is>
      </c>
      <c r="E7" s="11" t="inlineStr">
        <is>
          <t>Cart contains 1 product</t>
        </is>
      </c>
      <c r="F7" s="11" t="inlineStr">
        <is>
          <t>1. Click "Delete"</t>
        </is>
      </c>
      <c r="G7" s="11" t="inlineStr">
        <is>
          <t>—</t>
        </is>
      </c>
      <c r="H7" s="11" t="inlineStr">
        <is>
          <t>Cart has no rows and total is empty</t>
        </is>
      </c>
      <c r="I7" s="11" t="inlineStr">
        <is>
          <t>Yes</t>
        </is>
      </c>
      <c r="J7" s="11" t="inlineStr">
        <is>
          <t>tests/ui/cart.spec.ts</t>
        </is>
      </c>
      <c r="K7" s="11" t="inlineStr"/>
    </row>
    <row r="8">
      <c r="A8" s="11" t="inlineStr">
        <is>
          <t>TC-CART-07</t>
        </is>
      </c>
      <c r="B8" s="11" t="inlineStr">
        <is>
          <t>New visitor sees an empty cart</t>
        </is>
      </c>
      <c r="C8" s="11" t="inlineStr">
        <is>
          <t>Edge</t>
        </is>
      </c>
      <c r="D8" s="11" t="inlineStr">
        <is>
          <t>Medium</t>
        </is>
      </c>
      <c r="E8" s="11" t="inlineStr">
        <is>
          <t>New browser session</t>
        </is>
      </c>
      <c r="F8" s="11" t="inlineStr">
        <is>
          <t>1. Open Cart page</t>
        </is>
      </c>
      <c r="G8" s="11" t="inlineStr">
        <is>
          <t>—</t>
        </is>
      </c>
      <c r="H8" s="11" t="inlineStr">
        <is>
          <t>No rows; total empty</t>
        </is>
      </c>
      <c r="I8" s="11" t="inlineStr">
        <is>
          <t>Yes</t>
        </is>
      </c>
      <c r="J8" s="11" t="inlineStr">
        <is>
          <t>tests/ui/cart.spec.ts</t>
        </is>
      </c>
      <c r="K8" s="11" t="inlineStr"/>
    </row>
    <row r="9">
      <c r="A9" s="11" t="inlineStr">
        <is>
          <t>TC-CART-08</t>
        </is>
      </c>
      <c r="B9" s="11" t="inlineStr">
        <is>
          <t>Logged-in cart kept after logout and login</t>
        </is>
      </c>
      <c r="C9" s="11" t="inlineStr">
        <is>
          <t>Functional</t>
        </is>
      </c>
      <c r="D9" s="11" t="inlineStr">
        <is>
          <t>High</t>
        </is>
      </c>
      <c r="E9" s="11" t="inlineStr">
        <is>
          <t>User is logged in</t>
        </is>
      </c>
      <c r="F9" s="11" t="inlineStr">
        <is>
          <t>1. Add Sony vaio i5
2. Log out
3. Open Cart (guest)
4. Log in again
5. Open Cart</t>
        </is>
      </c>
      <c r="G9" s="11" t="inlineStr">
        <is>
          <t>—</t>
        </is>
      </c>
      <c r="H9" s="11" t="inlineStr">
        <is>
          <t>Guest cart is empty; after login the user's cart still has Sony vaio i5</t>
        </is>
      </c>
      <c r="I9" s="11" t="inlineStr">
        <is>
          <t>Yes</t>
        </is>
      </c>
      <c r="J9" s="11" t="inlineStr">
        <is>
          <t>tests/ui/cart.spec.ts</t>
        </is>
      </c>
      <c r="K9" s="11" t="inlineStr"/>
    </row>
    <row r="10">
      <c r="A10" s="11" t="inlineStr">
        <is>
          <t>TC-CART-09</t>
        </is>
      </c>
      <c r="B10" s="11" t="inlineStr">
        <is>
          <t>Guest cart is not merged into user cart on login</t>
        </is>
      </c>
      <c r="C10" s="11" t="inlineStr">
        <is>
          <t>Edge</t>
        </is>
      </c>
      <c r="D10" s="11" t="inlineStr">
        <is>
          <t>Low</t>
        </is>
      </c>
      <c r="E10" s="11" t="inlineStr">
        <is>
          <t>Guest has 1 item in cart</t>
        </is>
      </c>
      <c r="F10" s="11" t="inlineStr">
        <is>
          <t>1. Log in
2. Open Cart</t>
        </is>
      </c>
      <c r="G10" s="11" t="inlineStr">
        <is>
          <t>—</t>
        </is>
      </c>
      <c r="H10" s="11" t="inlineStr">
        <is>
          <t>Only the user's own items are shown (guest items are not merged)</t>
        </is>
      </c>
      <c r="I10" s="11" t="inlineStr">
        <is>
          <t>No</t>
        </is>
      </c>
      <c r="J10" s="11" t="inlineStr">
        <is>
          <t>—</t>
        </is>
      </c>
      <c r="K10" s="11" t="inlineStr">
        <is>
          <t>Document current behaviour; confirm expectation with PO.</t>
        </is>
      </c>
    </row>
    <row r="11">
      <c r="A11" s="11" t="inlineStr">
        <is>
          <t>TC-CART-10</t>
        </is>
      </c>
      <c r="B11" s="11" t="inlineStr">
        <is>
          <t>Cart is isolated between users</t>
        </is>
      </c>
      <c r="C11" s="11" t="inlineStr">
        <is>
          <t>Security</t>
        </is>
      </c>
      <c r="D11" s="11" t="inlineStr">
        <is>
          <t>High</t>
        </is>
      </c>
      <c r="E11" s="11" t="inlineStr">
        <is>
          <t>Two accounts</t>
        </is>
      </c>
      <c r="F11" s="11" t="inlineStr">
        <is>
          <t>1. User A adds a product
2. User B views cart</t>
        </is>
      </c>
      <c r="G11" s="11" t="inlineStr">
        <is>
          <t>—</t>
        </is>
      </c>
      <c r="H11" s="11" t="inlineStr">
        <is>
          <t>User B's cart does not contain User A's product</t>
        </is>
      </c>
      <c r="I11" s="11" t="inlineStr">
        <is>
          <t>Yes</t>
        </is>
      </c>
      <c r="J11" s="11" t="inlineStr">
        <is>
          <t>tests/api/cart.api.spec.ts (TC-API-14)</t>
        </is>
      </c>
      <c r="K11" s="11" t="inlineStr"/>
    </row>
    <row r="12">
      <c r="A12" s="11" t="inlineStr">
        <is>
          <t>TC-CART-11</t>
        </is>
      </c>
      <c r="B12" s="11" t="inlineStr">
        <is>
          <t>Price in cart matches product page</t>
        </is>
      </c>
      <c r="C12" s="11" t="inlineStr">
        <is>
          <t>Functional</t>
        </is>
      </c>
      <c r="D12" s="11" t="inlineStr">
        <is>
          <t>Medium</t>
        </is>
      </c>
      <c r="E12" s="11" t="inlineStr">
        <is>
          <t>User is on https://www.demoblaze.com</t>
        </is>
      </c>
      <c r="F12" s="11" t="inlineStr">
        <is>
          <t>1. Note price on product page
2. Add to cart
3. Compare in Cart</t>
        </is>
      </c>
      <c r="G12" s="11" t="inlineStr">
        <is>
          <t>Any product</t>
        </is>
      </c>
      <c r="H12" s="11" t="inlineStr">
        <is>
          <t>Price in cart row equals product page price</t>
        </is>
      </c>
      <c r="I12" s="11" t="inlineStr">
        <is>
          <t>Yes</t>
        </is>
      </c>
      <c r="J12" s="11" t="inlineStr">
        <is>
          <t>tests/ui/cart.spec.ts (TC-CART-01)</t>
        </is>
      </c>
      <c r="K12" s="11" t="inlineStr"/>
    </row>
    <row r="13">
      <c r="A13" s="11" t="inlineStr">
        <is>
          <t>TC-CART-12</t>
        </is>
      </c>
      <c r="B13" s="11" t="inlineStr">
        <is>
          <t>Add to cart without waiting for the alert (double click)</t>
        </is>
      </c>
      <c r="C13" s="11" t="inlineStr">
        <is>
          <t>Edge</t>
        </is>
      </c>
      <c r="D13" s="11" t="inlineStr">
        <is>
          <t>Low</t>
        </is>
      </c>
      <c r="E13" s="11" t="inlineStr">
        <is>
          <t>User is on https://www.demoblaze.com</t>
        </is>
      </c>
      <c r="F13" s="11" t="inlineStr">
        <is>
          <t>1. Double-click "Add to cart" quickly</t>
        </is>
      </c>
      <c r="G13" s="11" t="inlineStr">
        <is>
          <t>—</t>
        </is>
      </c>
      <c r="H13" s="11" t="inlineStr">
        <is>
          <t>Exactly the number of clicks is added, no errors</t>
        </is>
      </c>
      <c r="I13" s="11" t="inlineStr">
        <is>
          <t>No</t>
        </is>
      </c>
      <c r="J13" s="11" t="inlineStr">
        <is>
          <t>—</t>
        </is>
      </c>
      <c r="K13" s="11" t="inlineStr"/>
    </row>
  </sheetData>
  <autoFilter ref="A1:K13"/>
  <conditionalFormatting sqref="I2:I63">
    <cfRule type="cellIs" priority="1" operator="equal" dxfId="0">
      <formula>"Yes"</formula>
    </cfRule>
    <cfRule type="cellIs" priority="2" operator="equal" dxfId="1">
      <formula>"No"</formula>
    </cfRule>
  </conditionalFormatting>
  <dataValidations count="3">
    <dataValidation sqref="C2:C63" showDropDown="0" showInputMessage="0" showErrorMessage="0" allowBlank="1" type="list">
      <formula1>"Functional,Negative,Edge,Security,Performance"</formula1>
    </dataValidation>
    <dataValidation sqref="D2:D63" showDropDown="0" showInputMessage="0" showErrorMessage="0" allowBlank="1" type="list">
      <formula1>"High,Medium,Low"</formula1>
    </dataValidation>
    <dataValidation sqref="I2:I6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9" customWidth="1" min="4" max="4"/>
    <col width="28" customWidth="1" min="5" max="5"/>
    <col width="48" customWidth="1" min="6" max="6"/>
    <col width="26" customWidth="1" min="7" max="7"/>
    <col width="42" customWidth="1" min="8" max="8"/>
    <col width="11" customWidth="1" min="9" max="9"/>
    <col width="34" customWidth="1" min="10" max="10"/>
    <col width="34" customWidth="1" min="11" max="11"/>
  </cols>
  <sheetData>
    <row r="1" ht="22" customHeight="1">
      <c r="A1" s="3" t="inlineStr">
        <is>
          <t>ID</t>
        </is>
      </c>
      <c r="B1" s="3" t="inlineStr">
        <is>
          <t>Title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Automated</t>
        </is>
      </c>
      <c r="J1" s="3" t="inlineStr">
        <is>
          <t>Automation Reference</t>
        </is>
      </c>
      <c r="K1" s="3" t="inlineStr">
        <is>
          <t>Notes</t>
        </is>
      </c>
    </row>
    <row r="2">
      <c r="A2" s="11" t="inlineStr">
        <is>
          <t>TC-ORDER-01</t>
        </is>
      </c>
      <c r="B2" s="11" t="inlineStr">
        <is>
          <t>Login, add to cart and place order (E2E)</t>
        </is>
      </c>
      <c r="C2" s="11" t="inlineStr">
        <is>
          <t>Functional</t>
        </is>
      </c>
      <c r="D2" s="11" t="inlineStr">
        <is>
          <t>High</t>
        </is>
      </c>
      <c r="E2" s="11" t="inlineStr">
        <is>
          <t>User is on https://www.demoblaze.com; Registered account (created by the test via API)</t>
        </is>
      </c>
      <c r="F2" s="11" t="inlineStr">
        <is>
          <t>1. Log in
2. Add Nexus 6
3. Open Cart, check row and total
4. Place Order, fill all fields
5. Click "Purchase"
6. Click "OK"</t>
        </is>
      </c>
      <c r="G2" s="11" t="inlineStr">
        <is>
          <t>Name, country, city, card 4111111111111111, 12/2030</t>
        </is>
      </c>
      <c r="H2" s="11" t="inlineStr">
        <is>
          <t>"Thank you for your purchase!" with Id, Amount 650 USD, card and name; OK goes to home; cart is empty afterwards</t>
        </is>
      </c>
      <c r="I2" s="11" t="inlineStr">
        <is>
          <t>Yes</t>
        </is>
      </c>
      <c r="J2" s="11" t="inlineStr">
        <is>
          <t>tests/ui/cart.spec.ts</t>
        </is>
      </c>
      <c r="K2" s="11" t="inlineStr">
        <is>
          <t>Demo scenario required by the assignment.</t>
        </is>
      </c>
    </row>
    <row r="3">
      <c r="A3" s="11" t="inlineStr">
        <is>
          <t>TC-ORDER-02</t>
        </is>
      </c>
      <c r="B3" s="11" t="inlineStr">
        <is>
          <t>Guest places an order</t>
        </is>
      </c>
      <c r="C3" s="11" t="inlineStr">
        <is>
          <t>Functional</t>
        </is>
      </c>
      <c r="D3" s="11" t="inlineStr">
        <is>
          <t>High</t>
        </is>
      </c>
      <c r="E3" s="11" t="inlineStr">
        <is>
          <t>User is on https://www.demoblaze.com</t>
        </is>
      </c>
      <c r="F3" s="11" t="inlineStr">
        <is>
          <t>1. Add Sony vaio i5
2. Place Order with valid data</t>
        </is>
      </c>
      <c r="G3" s="11" t="inlineStr">
        <is>
          <t>Valid customer data</t>
        </is>
      </c>
      <c r="H3" s="11" t="inlineStr">
        <is>
          <t>Confirmation Amount = 790; cart empty afterwards</t>
        </is>
      </c>
      <c r="I3" s="11" t="inlineStr">
        <is>
          <t>Yes</t>
        </is>
      </c>
      <c r="J3" s="11" t="inlineStr">
        <is>
          <t>tests/ui/cart.spec.ts</t>
        </is>
      </c>
      <c r="K3" s="11" t="inlineStr"/>
    </row>
    <row r="4">
      <c r="A4" s="11" t="inlineStr">
        <is>
          <t>TC-ORDER-03</t>
        </is>
      </c>
      <c r="B4" s="11" t="inlineStr">
        <is>
          <t>Order amount equals cart total (several products)</t>
        </is>
      </c>
      <c r="C4" s="11" t="inlineStr">
        <is>
          <t>Functional</t>
        </is>
      </c>
      <c r="D4" s="11" t="inlineStr">
        <is>
          <t>High</t>
        </is>
      </c>
      <c r="E4" s="11" t="inlineStr">
        <is>
          <t>User is logged in</t>
        </is>
      </c>
      <c r="F4" s="11" t="inlineStr">
        <is>
          <t>1. Add Nexus 6 and Apple monitor 24
2. Place Order</t>
        </is>
      </c>
      <c r="G4" s="11" t="inlineStr">
        <is>
          <t>Valid customer data</t>
        </is>
      </c>
      <c r="H4" s="11" t="inlineStr">
        <is>
          <t>Confirmation Amount = 1050</t>
        </is>
      </c>
      <c r="I4" s="11" t="inlineStr">
        <is>
          <t>Yes</t>
        </is>
      </c>
      <c r="J4" s="11" t="inlineStr">
        <is>
          <t>tests/ui/cart.spec.ts</t>
        </is>
      </c>
      <c r="K4" s="11" t="inlineStr"/>
    </row>
    <row r="5">
      <c r="A5" s="11" t="inlineStr">
        <is>
          <t>TC-ORDER-04</t>
        </is>
      </c>
      <c r="B5" s="11" t="inlineStr">
        <is>
          <t>Purchase with all fields empty</t>
        </is>
      </c>
      <c r="C5" s="11" t="inlineStr">
        <is>
          <t>Negative</t>
        </is>
      </c>
      <c r="D5" s="11" t="inlineStr">
        <is>
          <t>High</t>
        </is>
      </c>
      <c r="E5" s="11" t="inlineStr">
        <is>
          <t>Cart has 1 product</t>
        </is>
      </c>
      <c r="F5" s="11" t="inlineStr">
        <is>
          <t>1. Place Order
2. Leave all fields empty
3. Click "Purchase"</t>
        </is>
      </c>
      <c r="G5" s="11" t="inlineStr">
        <is>
          <t>—</t>
        </is>
      </c>
      <c r="H5" s="11" t="inlineStr">
        <is>
          <t>Alert "Please fill out Name and Creditcard."; form stays open; cart unchanged</t>
        </is>
      </c>
      <c r="I5" s="11" t="inlineStr">
        <is>
          <t>Yes</t>
        </is>
      </c>
      <c r="J5" s="11" t="inlineStr">
        <is>
          <t>tests/ui/cart.spec.ts</t>
        </is>
      </c>
      <c r="K5" s="11" t="inlineStr"/>
    </row>
    <row r="6">
      <c r="A6" s="11" t="inlineStr">
        <is>
          <t>TC-ORDER-05</t>
        </is>
      </c>
      <c r="B6" s="11" t="inlineStr">
        <is>
          <t>Purchase without credit card</t>
        </is>
      </c>
      <c r="C6" s="11" t="inlineStr">
        <is>
          <t>Negative</t>
        </is>
      </c>
      <c r="D6" s="11" t="inlineStr">
        <is>
          <t>High</t>
        </is>
      </c>
      <c r="E6" s="11" t="inlineStr">
        <is>
          <t>Cart has 1 product</t>
        </is>
      </c>
      <c r="F6" s="11" t="inlineStr">
        <is>
          <t>1. Fill Name only
2. Click "Purchase"</t>
        </is>
      </c>
      <c r="G6" s="11" t="inlineStr">
        <is>
          <t>Name only</t>
        </is>
      </c>
      <c r="H6" s="11" t="inlineStr">
        <is>
          <t>Alert "Please fill out Name and Creditcard."</t>
        </is>
      </c>
      <c r="I6" s="11" t="inlineStr">
        <is>
          <t>Yes</t>
        </is>
      </c>
      <c r="J6" s="11" t="inlineStr">
        <is>
          <t>tests/ui/cart.spec.ts</t>
        </is>
      </c>
      <c r="K6" s="11" t="inlineStr"/>
    </row>
    <row r="7">
      <c r="A7" s="11" t="inlineStr">
        <is>
          <t>TC-ORDER-06</t>
        </is>
      </c>
      <c r="B7" s="11" t="inlineStr">
        <is>
          <t>Purchase without name</t>
        </is>
      </c>
      <c r="C7" s="11" t="inlineStr">
        <is>
          <t>Negative</t>
        </is>
      </c>
      <c r="D7" s="11" t="inlineStr">
        <is>
          <t>High</t>
        </is>
      </c>
      <c r="E7" s="11" t="inlineStr">
        <is>
          <t>Cart has 1 product</t>
        </is>
      </c>
      <c r="F7" s="11" t="inlineStr">
        <is>
          <t>1. Fill Credit card only
2. Click "Purchase"</t>
        </is>
      </c>
      <c r="G7" s="11" t="inlineStr">
        <is>
          <t>Card only</t>
        </is>
      </c>
      <c r="H7" s="11" t="inlineStr">
        <is>
          <t>Alert "Please fill out Name and Creditcard."</t>
        </is>
      </c>
      <c r="I7" s="11" t="inlineStr">
        <is>
          <t>Yes</t>
        </is>
      </c>
      <c r="J7" s="11" t="inlineStr">
        <is>
          <t>tests/ui/cart.spec.ts</t>
        </is>
      </c>
      <c r="K7" s="11" t="inlineStr"/>
    </row>
    <row r="8">
      <c r="A8" s="11" t="inlineStr">
        <is>
          <t>TC-ORDER-07</t>
        </is>
      </c>
      <c r="B8" s="11" t="inlineStr">
        <is>
          <t>Closing the order form keeps the cart</t>
        </is>
      </c>
      <c r="C8" s="11" t="inlineStr">
        <is>
          <t>Edge</t>
        </is>
      </c>
      <c r="D8" s="11" t="inlineStr">
        <is>
          <t>Medium</t>
        </is>
      </c>
      <c r="E8" s="11" t="inlineStr">
        <is>
          <t>Cart has 1 product</t>
        </is>
      </c>
      <c r="F8" s="11" t="inlineStr">
        <is>
          <t>1. Place Order, fill form
2. Click "Close"</t>
        </is>
      </c>
      <c r="G8" s="11" t="inlineStr">
        <is>
          <t>Valid data</t>
        </is>
      </c>
      <c r="H8" s="11" t="inlineStr">
        <is>
          <t>Form closes; cart and total unchanged</t>
        </is>
      </c>
      <c r="I8" s="11" t="inlineStr">
        <is>
          <t>Yes</t>
        </is>
      </c>
      <c r="J8" s="11" t="inlineStr">
        <is>
          <t>tests/ui/cart.spec.ts</t>
        </is>
      </c>
      <c r="K8" s="11" t="inlineStr"/>
    </row>
    <row r="9">
      <c r="A9" s="11" t="inlineStr">
        <is>
          <t>TC-ORDER-08</t>
        </is>
      </c>
      <c r="B9" s="11" t="inlineStr">
        <is>
          <t>Purchase with an empty cart is blocked</t>
        </is>
      </c>
      <c r="C9" s="11" t="inlineStr">
        <is>
          <t>Edge</t>
        </is>
      </c>
      <c r="D9" s="11" t="inlineStr">
        <is>
          <t>High</t>
        </is>
      </c>
      <c r="E9" s="11" t="inlineStr">
        <is>
          <t>Cart is empty</t>
        </is>
      </c>
      <c r="F9" s="11" t="inlineStr">
        <is>
          <t>1. Open Cart
2. Place Order with valid data
3. Click "Purchase"</t>
        </is>
      </c>
      <c r="G9" s="11" t="inlineStr">
        <is>
          <t>Valid customer data</t>
        </is>
      </c>
      <c r="H9" s="11" t="inlineStr">
        <is>
          <t>Order is refused (e.g. "Cart is empty")</t>
        </is>
      </c>
      <c r="I9" s="11" t="inlineStr">
        <is>
          <t>Yes</t>
        </is>
      </c>
      <c r="J9" s="11" t="inlineStr">
        <is>
          <t>tests/ui/cart.spec.ts (test.fail)</t>
        </is>
      </c>
      <c r="K9" s="12" t="inlineStr">
        <is>
          <t>DEFECT: site confirms the order with "Amount: 0 USD".</t>
        </is>
      </c>
    </row>
    <row r="10">
      <c r="A10" s="11" t="inlineStr">
        <is>
          <t>TC-ORDER-09</t>
        </is>
      </c>
      <c r="B10" s="11" t="inlineStr">
        <is>
          <t>Confirmation shows the current date</t>
        </is>
      </c>
      <c r="C10" s="11" t="inlineStr">
        <is>
          <t>Edge</t>
        </is>
      </c>
      <c r="D10" s="11" t="inlineStr">
        <is>
          <t>Medium</t>
        </is>
      </c>
      <c r="E10" s="11" t="inlineStr">
        <is>
          <t>Cart has 1 product</t>
        </is>
      </c>
      <c r="F10" s="11" t="inlineStr">
        <is>
          <t>1. Place a valid order
2. Read "Date" in confirmation</t>
        </is>
      </c>
      <c r="G10" s="11" t="inlineStr">
        <is>
          <t>—</t>
        </is>
      </c>
      <c r="H10" s="11" t="inlineStr">
        <is>
          <t>Date = today (d/m/yyyy)</t>
        </is>
      </c>
      <c r="I10" s="11" t="inlineStr">
        <is>
          <t>Yes</t>
        </is>
      </c>
      <c r="J10" s="11" t="inlineStr">
        <is>
          <t>tests/ui/cart.spec.ts (test.fail)</t>
        </is>
      </c>
      <c r="K10" s="12" t="inlineStr">
        <is>
          <t>DEFECT: month is one less than today (JavaScript getMonth() is 0-based).</t>
        </is>
      </c>
    </row>
    <row r="11">
      <c r="A11" s="11" t="inlineStr">
        <is>
          <t>TC-ORDER-10</t>
        </is>
      </c>
      <c r="B11" s="11" t="inlineStr">
        <is>
          <t>Non-numeric credit card number</t>
        </is>
      </c>
      <c r="C11" s="11" t="inlineStr">
        <is>
          <t>Negative</t>
        </is>
      </c>
      <c r="D11" s="11" t="inlineStr">
        <is>
          <t>Medium</t>
        </is>
      </c>
      <c r="E11" s="11" t="inlineStr">
        <is>
          <t>Cart has 1 product</t>
        </is>
      </c>
      <c r="F11" s="11" t="inlineStr">
        <is>
          <t>1. Enter Name and card "abcd"
2. Click "Purchase"</t>
        </is>
      </c>
      <c r="G11" s="11" t="inlineStr">
        <is>
          <t>card = abcd</t>
        </is>
      </c>
      <c r="H11" s="11" t="inlineStr">
        <is>
          <t>Validation error for invalid card</t>
        </is>
      </c>
      <c r="I11" s="11" t="inlineStr">
        <is>
          <t>No</t>
        </is>
      </c>
      <c r="J11" s="11" t="inlineStr">
        <is>
          <t>—</t>
        </is>
      </c>
      <c r="K11" s="12" t="inlineStr">
        <is>
          <t>Expected DEFECT: site accepts any text as a card number.</t>
        </is>
      </c>
    </row>
    <row r="12">
      <c r="A12" s="11" t="inlineStr">
        <is>
          <t>TC-ORDER-11</t>
        </is>
      </c>
      <c r="B12" s="11" t="inlineStr">
        <is>
          <t>Invalid month / year</t>
        </is>
      </c>
      <c r="C12" s="11" t="inlineStr">
        <is>
          <t>Negative</t>
        </is>
      </c>
      <c r="D12" s="11" t="inlineStr">
        <is>
          <t>Low</t>
        </is>
      </c>
      <c r="E12" s="11" t="inlineStr">
        <is>
          <t>Cart has 1 product</t>
        </is>
      </c>
      <c r="F12" s="11" t="inlineStr">
        <is>
          <t>1. Enter month 13 and year 1999
2. Click "Purchase"</t>
        </is>
      </c>
      <c r="G12" s="11" t="inlineStr">
        <is>
          <t>month = 13, year = 1999</t>
        </is>
      </c>
      <c r="H12" s="11" t="inlineStr">
        <is>
          <t>Validation error for invalid / expired date</t>
        </is>
      </c>
      <c r="I12" s="11" t="inlineStr">
        <is>
          <t>No</t>
        </is>
      </c>
      <c r="J12" s="11" t="inlineStr">
        <is>
          <t>—</t>
        </is>
      </c>
      <c r="K12" s="12" t="inlineStr">
        <is>
          <t>Expected DEFECT: no validation on month/year.</t>
        </is>
      </c>
    </row>
    <row r="13">
      <c r="A13" s="11" t="inlineStr">
        <is>
          <t>TC-ORDER-12</t>
        </is>
      </c>
      <c r="B13" s="11" t="inlineStr">
        <is>
          <t>Whitespace-only name</t>
        </is>
      </c>
      <c r="C13" s="11" t="inlineStr">
        <is>
          <t>Edge</t>
        </is>
      </c>
      <c r="D13" s="11" t="inlineStr">
        <is>
          <t>Low</t>
        </is>
      </c>
      <c r="E13" s="11" t="inlineStr">
        <is>
          <t>Cart has 1 product</t>
        </is>
      </c>
      <c r="F13" s="11" t="inlineStr">
        <is>
          <t>1. Enter "   " as Name and a valid card
2. Click "Purchase"</t>
        </is>
      </c>
      <c r="G13" s="11" t="inlineStr">
        <is>
          <t>name = 3 spaces</t>
        </is>
      </c>
      <c r="H13" s="11" t="inlineStr">
        <is>
          <t>Validation error</t>
        </is>
      </c>
      <c r="I13" s="11" t="inlineStr">
        <is>
          <t>No</t>
        </is>
      </c>
      <c r="J13" s="11" t="inlineStr">
        <is>
          <t>—</t>
        </is>
      </c>
      <c r="K13" s="11" t="inlineStr"/>
    </row>
  </sheetData>
  <autoFilter ref="A1:K13"/>
  <conditionalFormatting sqref="I2:I63">
    <cfRule type="cellIs" priority="1" operator="equal" dxfId="0">
      <formula>"Yes"</formula>
    </cfRule>
    <cfRule type="cellIs" priority="2" operator="equal" dxfId="1">
      <formula>"No"</formula>
    </cfRule>
  </conditionalFormatting>
  <dataValidations count="3">
    <dataValidation sqref="C2:C63" showDropDown="0" showInputMessage="0" showErrorMessage="0" allowBlank="1" type="list">
      <formula1>"Functional,Negative,Edge,Security,Performance"</formula1>
    </dataValidation>
    <dataValidation sqref="D2:D63" showDropDown="0" showInputMessage="0" showErrorMessage="0" allowBlank="1" type="list">
      <formula1>"High,Medium,Low"</formula1>
    </dataValidation>
    <dataValidation sqref="I2:I6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9" customWidth="1" min="4" max="4"/>
    <col width="28" customWidth="1" min="5" max="5"/>
    <col width="48" customWidth="1" min="6" max="6"/>
    <col width="26" customWidth="1" min="7" max="7"/>
    <col width="42" customWidth="1" min="8" max="8"/>
    <col width="11" customWidth="1" min="9" max="9"/>
    <col width="34" customWidth="1" min="10" max="10"/>
    <col width="34" customWidth="1" min="11" max="11"/>
  </cols>
  <sheetData>
    <row r="1" ht="22" customHeight="1">
      <c r="A1" s="3" t="inlineStr">
        <is>
          <t>ID</t>
        </is>
      </c>
      <c r="B1" s="3" t="inlineStr">
        <is>
          <t>Title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Automated</t>
        </is>
      </c>
      <c r="J1" s="3" t="inlineStr">
        <is>
          <t>Automation Reference</t>
        </is>
      </c>
      <c r="K1" s="3" t="inlineStr">
        <is>
          <t>Notes</t>
        </is>
      </c>
    </row>
    <row r="2">
      <c r="A2" s="11" t="inlineStr">
        <is>
          <t>TC-API-01</t>
        </is>
      </c>
      <c r="B2" s="11" t="inlineStr">
        <is>
          <t>POST /signup creates a new user</t>
        </is>
      </c>
      <c r="C2" s="11" t="inlineStr">
        <is>
          <t>Functional</t>
        </is>
      </c>
      <c r="D2" s="11" t="inlineStr">
        <is>
          <t>High</t>
        </is>
      </c>
      <c r="E2" s="11" t="inlineStr">
        <is>
          <t>—</t>
        </is>
      </c>
      <c r="F2" s="11" t="inlineStr">
        <is>
          <t>POST /signup {username, base64(password)}</t>
        </is>
      </c>
      <c r="G2" s="11" t="inlineStr">
        <is>
          <t>Random user</t>
        </is>
      </c>
      <c r="H2" s="11" t="inlineStr">
        <is>
          <t>HTTP 200, body ""</t>
        </is>
      </c>
      <c r="I2" s="11" t="inlineStr">
        <is>
          <t>Yes</t>
        </is>
      </c>
      <c r="J2" s="11" t="inlineStr">
        <is>
          <t>tests/api/auth.api.spec.ts</t>
        </is>
      </c>
      <c r="K2" s="11" t="inlineStr"/>
    </row>
    <row r="3">
      <c r="A3" s="11" t="inlineStr">
        <is>
          <t>TC-API-02</t>
        </is>
      </c>
      <c r="B3" s="11" t="inlineStr">
        <is>
          <t>POST /signup with existing username</t>
        </is>
      </c>
      <c r="C3" s="11" t="inlineStr">
        <is>
          <t>Negative</t>
        </is>
      </c>
      <c r="D3" s="11" t="inlineStr">
        <is>
          <t>High</t>
        </is>
      </c>
      <c r="E3" s="11" t="inlineStr">
        <is>
          <t>User exists</t>
        </is>
      </c>
      <c r="F3" s="11" t="inlineStr">
        <is>
          <t>POST /signup with the same username</t>
        </is>
      </c>
      <c r="G3" s="11" t="inlineStr">
        <is>
          <t>Existing user</t>
        </is>
      </c>
      <c r="H3" s="11" t="inlineStr">
        <is>
          <t>{"errorMessage":"This user already exist."}</t>
        </is>
      </c>
      <c r="I3" s="11" t="inlineStr">
        <is>
          <t>Yes</t>
        </is>
      </c>
      <c r="J3" s="11" t="inlineStr">
        <is>
          <t>tests/api/auth.api.spec.ts</t>
        </is>
      </c>
      <c r="K3" s="11" t="inlineStr"/>
    </row>
    <row r="4">
      <c r="A4" s="11" t="inlineStr">
        <is>
          <t>TC-API-03</t>
        </is>
      </c>
      <c r="B4" s="11" t="inlineStr">
        <is>
          <t>POST /login with valid credentials</t>
        </is>
      </c>
      <c r="C4" s="11" t="inlineStr">
        <is>
          <t>Functional</t>
        </is>
      </c>
      <c r="D4" s="11" t="inlineStr">
        <is>
          <t>High</t>
        </is>
      </c>
      <c r="E4" s="11" t="inlineStr">
        <is>
          <t>User exists</t>
        </is>
      </c>
      <c r="F4" s="11" t="inlineStr">
        <is>
          <t>POST /login</t>
        </is>
      </c>
      <c r="G4" s="11" t="inlineStr">
        <is>
          <t>Valid credentials</t>
        </is>
      </c>
      <c r="H4" s="11" t="inlineStr">
        <is>
          <t>HTTP 200, body "Auth_token: &lt;token&gt;"</t>
        </is>
      </c>
      <c r="I4" s="11" t="inlineStr">
        <is>
          <t>Yes</t>
        </is>
      </c>
      <c r="J4" s="11" t="inlineStr">
        <is>
          <t>tests/api/auth.api.spec.ts</t>
        </is>
      </c>
      <c r="K4" s="11" t="inlineStr"/>
    </row>
    <row r="5">
      <c r="A5" s="11" t="inlineStr">
        <is>
          <t>TC-API-04</t>
        </is>
      </c>
      <c r="B5" s="11" t="inlineStr">
        <is>
          <t>POST /check validates the token</t>
        </is>
      </c>
      <c r="C5" s="11" t="inlineStr">
        <is>
          <t>Functional</t>
        </is>
      </c>
      <c r="D5" s="11" t="inlineStr">
        <is>
          <t>Medium</t>
        </is>
      </c>
      <c r="E5" s="11" t="inlineStr">
        <is>
          <t>Token from TC-API-03</t>
        </is>
      </c>
      <c r="F5" s="11" t="inlineStr">
        <is>
          <t>POST /check {token}</t>
        </is>
      </c>
      <c r="G5" s="11" t="inlineStr">
        <is>
          <t>—</t>
        </is>
      </c>
      <c r="H5" s="11" t="inlineStr">
        <is>
          <t>Item.username = user, Item.token = token</t>
        </is>
      </c>
      <c r="I5" s="11" t="inlineStr">
        <is>
          <t>Yes</t>
        </is>
      </c>
      <c r="J5" s="11" t="inlineStr">
        <is>
          <t>tests/api/auth.api.spec.ts</t>
        </is>
      </c>
      <c r="K5" s="11" t="inlineStr"/>
    </row>
    <row r="6">
      <c r="A6" s="11" t="inlineStr">
        <is>
          <t>TC-API-05</t>
        </is>
      </c>
      <c r="B6" s="11" t="inlineStr">
        <is>
          <t>POST /login with wrong password</t>
        </is>
      </c>
      <c r="C6" s="11" t="inlineStr">
        <is>
          <t>Negative</t>
        </is>
      </c>
      <c r="D6" s="11" t="inlineStr">
        <is>
          <t>High</t>
        </is>
      </c>
      <c r="E6" s="11" t="inlineStr">
        <is>
          <t>User exists</t>
        </is>
      </c>
      <c r="F6" s="11" t="inlineStr">
        <is>
          <t>POST /login with wrong password</t>
        </is>
      </c>
      <c r="G6" s="11" t="inlineStr">
        <is>
          <t>—</t>
        </is>
      </c>
      <c r="H6" s="11" t="inlineStr">
        <is>
          <t>{"errorMessage":"Wrong password."}</t>
        </is>
      </c>
      <c r="I6" s="11" t="inlineStr">
        <is>
          <t>Yes</t>
        </is>
      </c>
      <c r="J6" s="11" t="inlineStr">
        <is>
          <t>tests/api/auth.api.spec.ts</t>
        </is>
      </c>
      <c r="K6" s="11" t="inlineStr"/>
    </row>
    <row r="7">
      <c r="A7" s="11" t="inlineStr">
        <is>
          <t>TC-API-06</t>
        </is>
      </c>
      <c r="B7" s="11" t="inlineStr">
        <is>
          <t>POST /login with unknown user</t>
        </is>
      </c>
      <c r="C7" s="11" t="inlineStr">
        <is>
          <t>Negative</t>
        </is>
      </c>
      <c r="D7" s="11" t="inlineStr">
        <is>
          <t>High</t>
        </is>
      </c>
      <c r="E7" s="11" t="inlineStr">
        <is>
          <t>—</t>
        </is>
      </c>
      <c r="F7" s="11" t="inlineStr">
        <is>
          <t>POST /login</t>
        </is>
      </c>
      <c r="G7" s="11" t="inlineStr">
        <is>
          <t>Unknown user</t>
        </is>
      </c>
      <c r="H7" s="11" t="inlineStr">
        <is>
          <t>{"errorMessage":"User does not exist."}</t>
        </is>
      </c>
      <c r="I7" s="11" t="inlineStr">
        <is>
          <t>Yes</t>
        </is>
      </c>
      <c r="J7" s="11" t="inlineStr">
        <is>
          <t>tests/api/auth.api.spec.ts</t>
        </is>
      </c>
      <c r="K7" s="11" t="inlineStr"/>
    </row>
    <row r="8">
      <c r="A8" s="11" t="inlineStr">
        <is>
          <t>TC-API-07</t>
        </is>
      </c>
      <c r="B8" s="11" t="inlineStr">
        <is>
          <t>POST /login with empty credentials</t>
        </is>
      </c>
      <c r="C8" s="11" t="inlineStr">
        <is>
          <t>Negative</t>
        </is>
      </c>
      <c r="D8" s="11" t="inlineStr">
        <is>
          <t>Medium</t>
        </is>
      </c>
      <c r="E8" s="11" t="inlineStr">
        <is>
          <t>—</t>
        </is>
      </c>
      <c r="F8" s="11" t="inlineStr">
        <is>
          <t>POST /login {"username":"","password":""}</t>
        </is>
      </c>
      <c r="G8" s="11" t="inlineStr">
        <is>
          <t>—</t>
        </is>
      </c>
      <c r="H8" s="11" t="inlineStr">
        <is>
          <t>HTTP 4xx validation error</t>
        </is>
      </c>
      <c r="I8" s="11" t="inlineStr">
        <is>
          <t>Yes</t>
        </is>
      </c>
      <c r="J8" s="11" t="inlineStr">
        <is>
          <t>tests/api/auth.api.spec.ts (test.fail)</t>
        </is>
      </c>
      <c r="K8" s="12" t="inlineStr">
        <is>
          <t>DEFECT: API returns HTTP 500.</t>
        </is>
      </c>
    </row>
    <row r="9">
      <c r="A9" s="11" t="inlineStr">
        <is>
          <t>TC-API-08</t>
        </is>
      </c>
      <c r="B9" s="11" t="inlineStr">
        <is>
          <t>GET /entries lists products</t>
        </is>
      </c>
      <c r="C9" s="11" t="inlineStr">
        <is>
          <t>Functional</t>
        </is>
      </c>
      <c r="D9" s="11" t="inlineStr">
        <is>
          <t>High</t>
        </is>
      </c>
      <c r="E9" s="11" t="inlineStr">
        <is>
          <t>—</t>
        </is>
      </c>
      <c r="F9" s="11" t="inlineStr">
        <is>
          <t>GET /entries</t>
        </is>
      </c>
      <c r="G9" s="11" t="inlineStr">
        <is>
          <t>—</t>
        </is>
      </c>
      <c r="H9" s="11" t="inlineStr">
        <is>
          <t>HTTP 200; every item has id, title, price, cat</t>
        </is>
      </c>
      <c r="I9" s="11" t="inlineStr">
        <is>
          <t>Yes</t>
        </is>
      </c>
      <c r="J9" s="11" t="inlineStr">
        <is>
          <t>tests/api/products.api.spec.ts</t>
        </is>
      </c>
      <c r="K9" s="11" t="inlineStr"/>
    </row>
    <row r="10">
      <c r="A10" s="11" t="inlineStr">
        <is>
          <t>TC-API-09</t>
        </is>
      </c>
      <c r="B10" s="11" t="inlineStr">
        <is>
          <t>POST /bycat filters by category</t>
        </is>
      </c>
      <c r="C10" s="11" t="inlineStr">
        <is>
          <t>Functional</t>
        </is>
      </c>
      <c r="D10" s="11" t="inlineStr">
        <is>
          <t>Medium</t>
        </is>
      </c>
      <c r="E10" s="11" t="inlineStr">
        <is>
          <t>—</t>
        </is>
      </c>
      <c r="F10" s="11" t="inlineStr">
        <is>
          <t>POST /bycat for phone, notebook, monitor</t>
        </is>
      </c>
      <c r="G10" s="11" t="inlineStr">
        <is>
          <t>—</t>
        </is>
      </c>
      <c r="H10" s="11" t="inlineStr">
        <is>
          <t>All items belong to the category; known product present</t>
        </is>
      </c>
      <c r="I10" s="11" t="inlineStr">
        <is>
          <t>Yes</t>
        </is>
      </c>
      <c r="J10" s="11" t="inlineStr">
        <is>
          <t>tests/api/products.api.spec.ts</t>
        </is>
      </c>
      <c r="K10" s="11" t="inlineStr"/>
    </row>
    <row r="11">
      <c r="A11" s="11" t="inlineStr">
        <is>
          <t>TC-API-10</t>
        </is>
      </c>
      <c r="B11" s="11" t="inlineStr">
        <is>
          <t>POST /view returns product details</t>
        </is>
      </c>
      <c r="C11" s="11" t="inlineStr">
        <is>
          <t>Functional</t>
        </is>
      </c>
      <c r="D11" s="11" t="inlineStr">
        <is>
          <t>Medium</t>
        </is>
      </c>
      <c r="E11" s="11" t="inlineStr">
        <is>
          <t>—</t>
        </is>
      </c>
      <c r="F11" s="11" t="inlineStr">
        <is>
          <t>POST /view {id: 3}</t>
        </is>
      </c>
      <c r="G11" s="11" t="inlineStr">
        <is>
          <t>—</t>
        </is>
      </c>
      <c r="H11" s="11" t="inlineStr">
        <is>
          <t>title "Nexus 6", price 650</t>
        </is>
      </c>
      <c r="I11" s="11" t="inlineStr">
        <is>
          <t>Yes</t>
        </is>
      </c>
      <c r="J11" s="11" t="inlineStr">
        <is>
          <t>tests/api/products.api.spec.ts</t>
        </is>
      </c>
      <c r="K11" s="11" t="inlineStr"/>
    </row>
    <row r="12">
      <c r="A12" s="11" t="inlineStr">
        <is>
          <t>TC-API-11</t>
        </is>
      </c>
      <c r="B12" s="11" t="inlineStr">
        <is>
          <t>POST /addtocart adds a cart line</t>
        </is>
      </c>
      <c r="C12" s="11" t="inlineStr">
        <is>
          <t>Functional</t>
        </is>
      </c>
      <c r="D12" s="11" t="inlineStr">
        <is>
          <t>High</t>
        </is>
      </c>
      <c r="E12" s="11" t="inlineStr">
        <is>
          <t>Logged-in token</t>
        </is>
      </c>
      <c r="F12" s="11" t="inlineStr">
        <is>
          <t>POST /addtocart then /viewcart</t>
        </is>
      </c>
      <c r="G12" s="11" t="inlineStr">
        <is>
          <t>prod_id 3</t>
        </is>
      </c>
      <c r="H12" s="11" t="inlineStr">
        <is>
          <t>Cart has 1 line for prod_id 3 owned by the user</t>
        </is>
      </c>
      <c r="I12" s="11" t="inlineStr">
        <is>
          <t>Yes</t>
        </is>
      </c>
      <c r="J12" s="11" t="inlineStr">
        <is>
          <t>tests/api/cart.api.spec.ts</t>
        </is>
      </c>
      <c r="K12" s="11" t="inlineStr"/>
    </row>
    <row r="13">
      <c r="A13" s="11" t="inlineStr">
        <is>
          <t>TC-API-12</t>
        </is>
      </c>
      <c r="B13" s="11" t="inlineStr">
        <is>
          <t>POST /deleteitem removes one line</t>
        </is>
      </c>
      <c r="C13" s="11" t="inlineStr">
        <is>
          <t>Functional</t>
        </is>
      </c>
      <c r="D13" s="11" t="inlineStr">
        <is>
          <t>High</t>
        </is>
      </c>
      <c r="E13" s="11" t="inlineStr">
        <is>
          <t>Cart has 2 lines</t>
        </is>
      </c>
      <c r="F13" s="11" t="inlineStr">
        <is>
          <t>POST /deleteitem {id}</t>
        </is>
      </c>
      <c r="G13" s="11" t="inlineStr">
        <is>
          <t>—</t>
        </is>
      </c>
      <c r="H13" s="11" t="inlineStr">
        <is>
          <t>Only the other line remains</t>
        </is>
      </c>
      <c r="I13" s="11" t="inlineStr">
        <is>
          <t>Yes</t>
        </is>
      </c>
      <c r="J13" s="11" t="inlineStr">
        <is>
          <t>tests/api/cart.api.spec.ts</t>
        </is>
      </c>
      <c r="K13" s="11" t="inlineStr"/>
    </row>
    <row r="14">
      <c r="A14" s="11" t="inlineStr">
        <is>
          <t>TC-API-13</t>
        </is>
      </c>
      <c r="B14" s="11" t="inlineStr">
        <is>
          <t>POST /deletecart empties the cart</t>
        </is>
      </c>
      <c r="C14" s="11" t="inlineStr">
        <is>
          <t>Functional</t>
        </is>
      </c>
      <c r="D14" s="11" t="inlineStr">
        <is>
          <t>Medium</t>
        </is>
      </c>
      <c r="E14" s="11" t="inlineStr">
        <is>
          <t>Cart has items</t>
        </is>
      </c>
      <c r="F14" s="11" t="inlineStr">
        <is>
          <t>POST /deletecart {cookie: username}</t>
        </is>
      </c>
      <c r="G14" s="11" t="inlineStr">
        <is>
          <t>—</t>
        </is>
      </c>
      <c r="H14" s="11" t="inlineStr">
        <is>
          <t>/viewcart returns no items</t>
        </is>
      </c>
      <c r="I14" s="11" t="inlineStr">
        <is>
          <t>Yes</t>
        </is>
      </c>
      <c r="J14" s="11" t="inlineStr">
        <is>
          <t>tests/api/cart.api.spec.ts</t>
        </is>
      </c>
      <c r="K14" s="11" t="inlineStr"/>
    </row>
    <row r="15">
      <c r="A15" s="11" t="inlineStr">
        <is>
          <t>TC-API-14</t>
        </is>
      </c>
      <c r="B15" s="11" t="inlineStr">
        <is>
          <t>Cart is isolated between users</t>
        </is>
      </c>
      <c r="C15" s="11" t="inlineStr">
        <is>
          <t>Security</t>
        </is>
      </c>
      <c r="D15" s="11" t="inlineStr">
        <is>
          <t>High</t>
        </is>
      </c>
      <c r="E15" s="11" t="inlineStr">
        <is>
          <t>Two users</t>
        </is>
      </c>
      <c r="F15" s="11" t="inlineStr">
        <is>
          <t>User A adds item; User B views cart</t>
        </is>
      </c>
      <c r="G15" s="11" t="inlineStr">
        <is>
          <t>—</t>
        </is>
      </c>
      <c r="H15" s="11" t="inlineStr">
        <is>
          <t>User B's cart is empty</t>
        </is>
      </c>
      <c r="I15" s="11" t="inlineStr">
        <is>
          <t>Yes</t>
        </is>
      </c>
      <c r="J15" s="11" t="inlineStr">
        <is>
          <t>tests/api/cart.api.spec.ts</t>
        </is>
      </c>
      <c r="K15" s="11" t="inlineStr"/>
    </row>
  </sheetData>
  <autoFilter ref="A1:K15"/>
  <conditionalFormatting sqref="I2:I65">
    <cfRule type="cellIs" priority="1" operator="equal" dxfId="0">
      <formula>"Yes"</formula>
    </cfRule>
    <cfRule type="cellIs" priority="2" operator="equal" dxfId="1">
      <formula>"No"</formula>
    </cfRule>
  </conditionalFormatting>
  <dataValidations count="3">
    <dataValidation sqref="C2:C65" showDropDown="0" showInputMessage="0" showErrorMessage="0" allowBlank="1" type="list">
      <formula1>"Functional,Negative,Edge,Security,Performance"</formula1>
    </dataValidation>
    <dataValidation sqref="D2:D65" showDropDown="0" showInputMessage="0" showErrorMessage="0" allowBlank="1" type="list">
      <formula1>"High,Medium,Low"</formula1>
    </dataValidation>
    <dataValidation sqref="I2:I6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9" customWidth="1" min="4" max="4"/>
    <col width="28" customWidth="1" min="5" max="5"/>
    <col width="48" customWidth="1" min="6" max="6"/>
    <col width="26" customWidth="1" min="7" max="7"/>
    <col width="42" customWidth="1" min="8" max="8"/>
    <col width="11" customWidth="1" min="9" max="9"/>
    <col width="34" customWidth="1" min="10" max="10"/>
    <col width="34" customWidth="1" min="11" max="11"/>
  </cols>
  <sheetData>
    <row r="1" ht="22" customHeight="1">
      <c r="A1" s="3" t="inlineStr">
        <is>
          <t>ID</t>
        </is>
      </c>
      <c r="B1" s="3" t="inlineStr">
        <is>
          <t>Title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Preconditions</t>
        </is>
      </c>
      <c r="F1" s="3" t="inlineStr">
        <is>
          <t>Steps</t>
        </is>
      </c>
      <c r="G1" s="3" t="inlineStr">
        <is>
          <t>Test Data</t>
        </is>
      </c>
      <c r="H1" s="3" t="inlineStr">
        <is>
          <t>Expected Result</t>
        </is>
      </c>
      <c r="I1" s="3" t="inlineStr">
        <is>
          <t>Automated</t>
        </is>
      </c>
      <c r="J1" s="3" t="inlineStr">
        <is>
          <t>Automation Reference</t>
        </is>
      </c>
      <c r="K1" s="3" t="inlineStr">
        <is>
          <t>Notes</t>
        </is>
      </c>
    </row>
    <row r="2">
      <c r="A2" s="11" t="inlineStr">
        <is>
          <t>TC-PERF-01</t>
        </is>
      </c>
      <c r="B2" s="11" t="inlineStr">
        <is>
          <t>Home page load time</t>
        </is>
      </c>
      <c r="C2" s="11" t="inlineStr">
        <is>
          <t>Performance</t>
        </is>
      </c>
      <c r="D2" s="11" t="inlineStr">
        <is>
          <t>Medium</t>
        </is>
      </c>
      <c r="E2" s="11" t="inlineStr">
        <is>
          <t>—</t>
        </is>
      </c>
      <c r="F2" s="11" t="inlineStr">
        <is>
          <t>Open home page, read Navigation Timing</t>
        </is>
      </c>
      <c r="G2" s="11" t="inlineStr">
        <is>
          <t>Budget PERF_PAGE_LOAD_BUDGET_MS (default 5000)</t>
        </is>
      </c>
      <c r="H2" s="11" t="inlineStr">
        <is>
          <t>load event and product list visible within budget</t>
        </is>
      </c>
      <c r="I2" s="11" t="inlineStr">
        <is>
          <t>Yes</t>
        </is>
      </c>
      <c r="J2" s="11" t="inlineStr">
        <is>
          <t>tests/performance/performance.spec.ts</t>
        </is>
      </c>
      <c r="K2" s="11" t="inlineStr">
        <is>
          <t>Metrics attached to the report as JSON.</t>
        </is>
      </c>
    </row>
    <row r="3">
      <c r="A3" s="11" t="inlineStr">
        <is>
          <t>TC-PERF-02</t>
        </is>
      </c>
      <c r="B3" s="11" t="inlineStr">
        <is>
          <t>Cart page load time</t>
        </is>
      </c>
      <c r="C3" s="11" t="inlineStr">
        <is>
          <t>Performance</t>
        </is>
      </c>
      <c r="D3" s="11" t="inlineStr">
        <is>
          <t>Medium</t>
        </is>
      </c>
      <c r="E3" s="11" t="inlineStr">
        <is>
          <t>—</t>
        </is>
      </c>
      <c r="F3" s="11" t="inlineStr">
        <is>
          <t>Open cart page, read Navigation Timing</t>
        </is>
      </c>
      <c r="G3" s="11" t="inlineStr">
        <is>
          <t>Same budget</t>
        </is>
      </c>
      <c r="H3" s="11" t="inlineStr">
        <is>
          <t>load event within budget</t>
        </is>
      </c>
      <c r="I3" s="11" t="inlineStr">
        <is>
          <t>Yes</t>
        </is>
      </c>
      <c r="J3" s="11" t="inlineStr">
        <is>
          <t>tests/performance/performance.spec.ts</t>
        </is>
      </c>
      <c r="K3" s="11" t="inlineStr"/>
    </row>
    <row r="4">
      <c r="A4" s="11" t="inlineStr">
        <is>
          <t>TC-PERF-03</t>
        </is>
      </c>
      <c r="B4" s="11" t="inlineStr">
        <is>
          <t>API latency under concurrency</t>
        </is>
      </c>
      <c r="C4" s="11" t="inlineStr">
        <is>
          <t>Performance</t>
        </is>
      </c>
      <c r="D4" s="11" t="inlineStr">
        <is>
          <t>Medium</t>
        </is>
      </c>
      <c r="E4" s="11" t="inlineStr">
        <is>
          <t>—</t>
        </is>
      </c>
      <c r="F4" s="11" t="inlineStr">
        <is>
          <t>Fire N concurrent requests to /entries, /login, /view</t>
        </is>
      </c>
      <c r="G4" s="11" t="inlineStr">
        <is>
          <t>PERF_API_CONCURRENCY (default 10); PERF_API_P95_BUDGET_MS (default 1500)</t>
        </is>
      </c>
      <c r="H4" s="11" t="inlineStr">
        <is>
          <t>0 failures; p95 below budget</t>
        </is>
      </c>
      <c r="I4" s="11" t="inlineStr">
        <is>
          <t>Yes</t>
        </is>
      </c>
      <c r="J4" s="11" t="inlineStr">
        <is>
          <t>tests/performance/performance.spec.ts</t>
        </is>
      </c>
      <c r="K4" s="11" t="inlineStr"/>
    </row>
    <row r="5">
      <c r="A5" s="11" t="inlineStr">
        <is>
          <t>TC-PERF-04</t>
        </is>
      </c>
      <c r="B5" s="11" t="inlineStr">
        <is>
          <t>Sustained load on API</t>
        </is>
      </c>
      <c r="C5" s="11" t="inlineStr">
        <is>
          <t>Performance</t>
        </is>
      </c>
      <c r="D5" s="11" t="inlineStr">
        <is>
          <t>Low</t>
        </is>
      </c>
      <c r="E5" s="11" t="inlineStr">
        <is>
          <t>k6 installed</t>
        </is>
      </c>
      <c r="F5" s="11" t="inlineStr">
        <is>
          <t>Ramp to VUS users for DURATION: browse, login, view product</t>
        </is>
      </c>
      <c r="G5" s="11" t="inlineStr">
        <is>
          <t>VUS=5, DURATION=30s</t>
        </is>
      </c>
      <c r="H5" s="11" t="inlineStr">
        <is>
          <t>http_req_failed &lt; 1%; p95 &lt; P95_MS; checks &gt; 99%</t>
        </is>
      </c>
      <c r="I5" s="11" t="inlineStr">
        <is>
          <t>Yes</t>
        </is>
      </c>
      <c r="J5" s="11" t="inlineStr">
        <is>
          <t>performance/k6/login-load.js</t>
        </is>
      </c>
      <c r="K5" s="11" t="inlineStr">
        <is>
          <t>Manual trigger in CI (workflow_dispatch).</t>
        </is>
      </c>
    </row>
  </sheetData>
  <autoFilter ref="A1:K5"/>
  <conditionalFormatting sqref="I2:I55">
    <cfRule type="cellIs" priority="1" operator="equal" dxfId="0">
      <formula>"Yes"</formula>
    </cfRule>
    <cfRule type="cellIs" priority="2" operator="equal" dxfId="1">
      <formula>"No"</formula>
    </cfRule>
  </conditionalFormatting>
  <dataValidations count="3">
    <dataValidation sqref="C2:C55" showDropDown="0" showInputMessage="0" showErrorMessage="0" allowBlank="1" type="list">
      <formula1>"Functional,Negative,Edge,Security,Performance"</formula1>
    </dataValidation>
    <dataValidation sqref="D2:D55" showDropDown="0" showInputMessage="0" showErrorMessage="0" allowBlank="1" type="list">
      <formula1>"High,Medium,Low"</formula1>
    </dataValidation>
    <dataValidation sqref="I2:I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2026-10-11T13:21:28Z</dcterms:created>
  <dcterms:modified xsi:type="dcterms:W3CDTF">2026-10-11T13:21:28Z</dcterms:modified>
</cp:coreProperties>
</file>